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nnections.xml" ContentType="application/vnd.openxmlformats-officedocument.spreadsheetml.connection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solis\Downloads\"/>
    </mc:Choice>
  </mc:AlternateContent>
  <xr:revisionPtr revIDLastSave="0" documentId="13_ncr:1_{D7B5B681-C7C7-42D0-8176-FD1FE6601022}" xr6:coauthVersionLast="47" xr6:coauthVersionMax="47" xr10:uidLastSave="{00000000-0000-0000-0000-000000000000}"/>
  <bookViews>
    <workbookView xWindow="43584" yWindow="0" windowWidth="20832" windowHeight="16656" xr2:uid="{D1996491-F8EF-4211-958F-AD8973F3D706}"/>
  </bookViews>
  <sheets>
    <sheet name="Sample Thermal Model" sheetId="1" r:id="rId1"/>
    <sheet name="Tutorial" sheetId="6" r:id="rId2"/>
    <sheet name="ConductivityParameters" sheetId="5" r:id="rId3"/>
  </sheets>
  <functionGroups builtInGroupCount="19"/>
  <definedNames>
    <definedName name="C_SB">'Sample Thermal Model'!$I$4</definedName>
    <definedName name="ExternalData_1" localSheetId="2" hidden="1">ConductivityParameters!$A$1:$S$79</definedName>
    <definedName name="T_ROOM">'Sample Thermal Model'!$B$4</definedName>
    <definedName name="T_Stage1">'Sample Thermal Model'!$C$4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7" i="1" l="1" a="1"/>
  <c r="H27" i="1" s="1"/>
  <c r="H14" i="1"/>
  <c r="H13" i="1"/>
  <c r="H12" i="1"/>
  <c r="H11" i="1"/>
  <c r="H16" i="1" s="1"/>
  <c r="B15" i="1"/>
  <c r="B14" i="1"/>
  <c r="B35" i="1"/>
  <c r="B43" i="1"/>
  <c r="B41" i="1"/>
  <c r="B36" i="1"/>
  <c r="B42" i="1"/>
  <c r="B37" i="1"/>
  <c r="B38" i="1"/>
  <c r="B39" i="1"/>
  <c r="B40" i="1"/>
  <c r="B34" i="1"/>
  <c r="F20" i="1"/>
  <c r="D18" i="1" l="1"/>
  <c r="F15" i="1"/>
  <c r="F18" i="1" s="1"/>
  <c r="D20" i="1"/>
  <c r="B20" i="1"/>
  <c r="D15" i="1" l="1"/>
  <c r="D22" i="1"/>
  <c r="D27" i="1" s="1"/>
  <c r="B18" i="1"/>
  <c r="B22" i="1" s="1"/>
  <c r="B27" i="1" s="1"/>
  <c r="F22" i="1"/>
  <c r="F27"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59056D-566E-4780-998B-4B71C74EBF0E}" keepAlive="1" name="Query - tc_fullrepo_20240701" description="Connection to the 'tc_fullrepo_20240701' query in the workbook." type="5" refreshedVersion="8" background="1" saveData="1">
    <dbPr connection="Provider=Microsoft.Mashup.OleDb.1;Data Source=$Workbook$;Location=tc_fullrepo_20240701;Extended Properties=&quot;&quot;" command="SELECT * FROM [tc_fullrepo_2024070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<sst xmlns="http://schemas.openxmlformats.org/spreadsheetml/2006/main" count="324" uniqueCount="184">
  <si>
    <t>Barebones Thermal Model Example</t>
  </si>
  <si>
    <t>Material</t>
  </si>
  <si>
    <t>OD</t>
  </si>
  <si>
    <t>Length</t>
  </si>
  <si>
    <t>Support Cylinder</t>
  </si>
  <si>
    <t>A/L for legs</t>
  </si>
  <si>
    <t xml:space="preserve">ConInt </t>
  </si>
  <si>
    <t>a</t>
  </si>
  <si>
    <t>b</t>
  </si>
  <si>
    <t>c</t>
  </si>
  <si>
    <t>d</t>
  </si>
  <si>
    <t>e</t>
  </si>
  <si>
    <t>f</t>
  </si>
  <si>
    <t>g</t>
  </si>
  <si>
    <t>h</t>
  </si>
  <si>
    <t>i</t>
  </si>
  <si>
    <t>Material Name</t>
  </si>
  <si>
    <t>Fit Type</t>
  </si>
  <si>
    <t>Low Temp</t>
  </si>
  <si>
    <t>High Temp</t>
  </si>
  <si>
    <t>Perc Err</t>
  </si>
  <si>
    <t>Brass</t>
  </si>
  <si>
    <t>CFRP</t>
  </si>
  <si>
    <t>Ketron</t>
  </si>
  <si>
    <t>??</t>
  </si>
  <si>
    <t>Lead</t>
  </si>
  <si>
    <t>Macor</t>
  </si>
  <si>
    <t>Molybdenum</t>
  </si>
  <si>
    <t>Platinum</t>
  </si>
  <si>
    <t>Teflon</t>
  </si>
  <si>
    <t>Torlon</t>
  </si>
  <si>
    <t>VESPEL</t>
  </si>
  <si>
    <t>powerlaw</t>
  </si>
  <si>
    <t>comppoly</t>
  </si>
  <si>
    <t>Stainless_Steel_304</t>
  </si>
  <si>
    <t>erf param</t>
  </si>
  <si>
    <t>Aluminum_1100</t>
  </si>
  <si>
    <t>0.00e+00</t>
  </si>
  <si>
    <t>Aluminum_3003F</t>
  </si>
  <si>
    <t>polylog</t>
  </si>
  <si>
    <t>Aluminum_5083O</t>
  </si>
  <si>
    <t>Aluminum_6061T6</t>
  </si>
  <si>
    <t>Aluminum_6063T5</t>
  </si>
  <si>
    <t>Beryllium_Copper</t>
  </si>
  <si>
    <t>CFRP_Clearwater</t>
  </si>
  <si>
    <t>CFRP_DPP</t>
  </si>
  <si>
    <t>CFRP_Graphlite</t>
  </si>
  <si>
    <t>Cu_OFHC_RRR100</t>
  </si>
  <si>
    <t>NIST-copperfit</t>
  </si>
  <si>
    <t>Cu_OFHC_RRR150</t>
  </si>
  <si>
    <t>Cu_OFHC_RRR300</t>
  </si>
  <si>
    <t>Cu_OFHC_RRR50</t>
  </si>
  <si>
    <t>Cu_OFHC_RRR500</t>
  </si>
  <si>
    <t>G10_CR_Normal</t>
  </si>
  <si>
    <t>G10_CR_Warp</t>
  </si>
  <si>
    <t>G10_FR4</t>
  </si>
  <si>
    <t>Glass_FabricPolyester_He_warp</t>
  </si>
  <si>
    <t>Glass_FabricPolyester_Ni_normal</t>
  </si>
  <si>
    <t>Glass_FabricPolyester_Ni_warp</t>
  </si>
  <si>
    <t>Graphite</t>
  </si>
  <si>
    <t>lowTextrapolate</t>
  </si>
  <si>
    <t>Graphite_a</t>
  </si>
  <si>
    <t>Graphite_brad</t>
  </si>
  <si>
    <t>Graphite_p</t>
  </si>
  <si>
    <t>Inconel_718</t>
  </si>
  <si>
    <t>Invar_Fe36Ni</t>
  </si>
  <si>
    <t>Kapton</t>
  </si>
  <si>
    <t>Kevlar49_Composite_Aramid</t>
  </si>
  <si>
    <t>NIST-experf</t>
  </si>
  <si>
    <t>Kevlar49_Fiber_Aramid</t>
  </si>
  <si>
    <t>Manganin</t>
  </si>
  <si>
    <t>MylarPET</t>
  </si>
  <si>
    <t>NbTi</t>
  </si>
  <si>
    <t>Nichrome</t>
  </si>
  <si>
    <t>Nickel_Steel_Fe_2.25_Ni</t>
  </si>
  <si>
    <t>Nickel_Steel_Fe_3.25_Ni</t>
  </si>
  <si>
    <t>Nickel_Steel_Fe_5.0_Ni</t>
  </si>
  <si>
    <t>Nickel_Steel_Fe_9.0_Ni</t>
  </si>
  <si>
    <t>Nylon</t>
  </si>
  <si>
    <t>Phosphorbronze</t>
  </si>
  <si>
    <t>Polystyrene_1.99_lbft3_Freon</t>
  </si>
  <si>
    <t>Polystyrene_2.0_lbft3</t>
  </si>
  <si>
    <t>Polystyrene_3.12_lbft3</t>
  </si>
  <si>
    <t>Polystyrene_6.24_lbft3</t>
  </si>
  <si>
    <t>Polyurethane_1.99_lbft3_Freon</t>
  </si>
  <si>
    <t>Polyurethane_2.0_lbft3_CO2</t>
  </si>
  <si>
    <t>Polyurethane_3.06_lbft3_He</t>
  </si>
  <si>
    <t>Polyurethane_4.00_lbft3_Freon</t>
  </si>
  <si>
    <t>PVC_1.25_lbft3_air</t>
  </si>
  <si>
    <t>PVC_3.5_lbft3_CO2</t>
  </si>
  <si>
    <t>Stainless_Steel</t>
  </si>
  <si>
    <t>Stainless_Steel_304L</t>
  </si>
  <si>
    <t>Stainless_Steel_310_lo</t>
  </si>
  <si>
    <t>Stainless_Steel_310_hi</t>
  </si>
  <si>
    <t>Ti6Al4V</t>
  </si>
  <si>
    <t>Titanium_15333</t>
  </si>
  <si>
    <t>Wood_Balsa_11_lbft3</t>
  </si>
  <si>
    <t>Wood_Balsa_6_lbft3</t>
  </si>
  <si>
    <t>Wood_Beechwood_flatwise</t>
  </si>
  <si>
    <t>Wood_Beechwood_grain</t>
  </si>
  <si>
    <t>Wood_MapleOak</t>
  </si>
  <si>
    <t>Nppoly</t>
  </si>
  <si>
    <t>Area</t>
  </si>
  <si>
    <t>ID</t>
  </si>
  <si>
    <t>Number of Parts</t>
  </si>
  <si>
    <t>Power per Part</t>
  </si>
  <si>
    <t>Global Variables</t>
  </si>
  <si>
    <t>Room Temp</t>
  </si>
  <si>
    <t>A.1</t>
  </si>
  <si>
    <t>B.1</t>
  </si>
  <si>
    <t>C.1</t>
  </si>
  <si>
    <t>D.1</t>
  </si>
  <si>
    <t>6.458</t>
  </si>
  <si>
    <t>2.0</t>
  </si>
  <si>
    <t>1.0</t>
  </si>
  <si>
    <t>0.5</t>
  </si>
  <si>
    <t>1.5</t>
  </si>
  <si>
    <t>14.228</t>
  </si>
  <si>
    <t>4.852</t>
  </si>
  <si>
    <t>7.990</t>
  </si>
  <si>
    <t>5.398</t>
  </si>
  <si>
    <t>Constantan_lo</t>
  </si>
  <si>
    <t>2.256</t>
  </si>
  <si>
    <t>Constantan_hi</t>
  </si>
  <si>
    <t>2.167</t>
  </si>
  <si>
    <t>Cu_OFHC</t>
  </si>
  <si>
    <t>1660.166</t>
  </si>
  <si>
    <t>5.0</t>
  </si>
  <si>
    <t>4.296</t>
  </si>
  <si>
    <t>27.067</t>
  </si>
  <si>
    <t>Kaptona</t>
  </si>
  <si>
    <t>15.979</t>
  </si>
  <si>
    <t>7</t>
  </si>
  <si>
    <t>3</t>
  </si>
  <si>
    <t>4.722</t>
  </si>
  <si>
    <t>9.354</t>
  </si>
  <si>
    <t>3.0</t>
  </si>
  <si>
    <t>23.505</t>
  </si>
  <si>
    <t>4.045</t>
  </si>
  <si>
    <t>6.148</t>
  </si>
  <si>
    <t>3.953</t>
  </si>
  <si>
    <t>2.293</t>
  </si>
  <si>
    <t>2.268</t>
  </si>
  <si>
    <t>Stainless_Steel_316_lo</t>
  </si>
  <si>
    <t>3.380</t>
  </si>
  <si>
    <t>Stainless_Steel_316_hi</t>
  </si>
  <si>
    <t>3.392</t>
  </si>
  <si>
    <t>Stainless_Steel_321</t>
  </si>
  <si>
    <t>4.704</t>
  </si>
  <si>
    <t>11.491</t>
  </si>
  <si>
    <t>3.265</t>
  </si>
  <si>
    <t>26.714</t>
  </si>
  <si>
    <t>Welcome, this sheet serves as a tutorial to understand how to best use this Excel notebook.</t>
  </si>
  <si>
    <t>This notebook is designed to help researchers/engineers develop a model for the thermal loading on a cryogenic system. To determine the thermal power load from a given component, the notebook requires the material type and dimensions (A/l), as well as the temperature difference over which the power loading is desired. With this information, the power loading is found by integrating the thermal conductivity of the material over the temperature range and multiplying by the A/l of the component.</t>
  </si>
  <si>
    <r>
      <t xml:space="preserve">The material thermal conductivity functions are stored in the </t>
    </r>
    <r>
      <rPr>
        <i/>
        <sz val="11"/>
        <color theme="1"/>
        <rFont val="Aptos Narrow"/>
        <family val="2"/>
        <scheme val="minor"/>
      </rPr>
      <t xml:space="preserve">ConductivityParameters </t>
    </r>
    <r>
      <rPr>
        <sz val="11"/>
        <color theme="1"/>
        <rFont val="Aptos Narrow"/>
        <family val="2"/>
        <scheme val="minor"/>
      </rPr>
      <t xml:space="preserve">sheet. These parameters are taken from the </t>
    </r>
    <r>
      <rPr>
        <i/>
        <sz val="11"/>
        <color theme="1"/>
        <rFont val="Aptos Narrow"/>
        <family val="2"/>
        <scheme val="minor"/>
      </rPr>
      <t>Cryogenic_Materials_Repository,</t>
    </r>
    <r>
      <rPr>
        <sz val="11"/>
        <color theme="1"/>
        <rFont val="Aptos Narrow"/>
        <family val="2"/>
        <scheme val="minor"/>
      </rPr>
      <t xml:space="preserve"> found on GitHub (more information can be found on that repository).</t>
    </r>
  </si>
  <si>
    <r>
      <t xml:space="preserve">The backbone of this notebook is a set of Excel Macros coded in Visual Basic for Applications.  These functions do all the heavy lifting of calculating the thermal conductivity of a material using the fits found in the </t>
    </r>
    <r>
      <rPr>
        <i/>
        <sz val="11"/>
        <color theme="1"/>
        <rFont val="Aptos Narrow"/>
        <family val="2"/>
        <scheme val="minor"/>
      </rPr>
      <t xml:space="preserve">ConductivityParameters </t>
    </r>
    <r>
      <rPr>
        <sz val="11"/>
        <color theme="1"/>
        <rFont val="Aptos Narrow"/>
        <family val="2"/>
        <scheme val="minor"/>
      </rPr>
      <t xml:space="preserve">sheet, and integrating. </t>
    </r>
  </si>
  <si>
    <t>Carbon Fiber Support</t>
  </si>
  <si>
    <t>Now let us take a look at the calculations for a single component:</t>
  </si>
  <si>
    <t>&lt;-- Definition of the component material. The example file conveniently has a drop down menu of material to choose from.</t>
  </si>
  <si>
    <t>&lt;-- These cells are all used to define the geometric properties of the component. How these properties are defined does not matter so long as eventually you obtain an A/l parameter along the direction of the temperature gradient</t>
  </si>
  <si>
    <t>&lt;-- The A/l parameter used to determine the power of the component</t>
  </si>
  <si>
    <t>&lt;-- The integrated thermal conductivity of the material over the temperature range</t>
  </si>
  <si>
    <t>&lt;-- The integrated thermal conductivity multiplied by the A/l to yield the thermal loading in W.</t>
  </si>
  <si>
    <t>VBA Functions</t>
  </si>
  <si>
    <t>ConInt(Material, TempHigh, TempLow)</t>
  </si>
  <si>
    <t>Conductivity(Material,Temp)</t>
  </si>
  <si>
    <t>Stage 1 Temp</t>
  </si>
  <si>
    <t>Loading between Room Temperature and Stage 1</t>
  </si>
  <si>
    <t>Cabling</t>
  </si>
  <si>
    <t>Radiative Loading</t>
  </si>
  <si>
    <t>Power</t>
  </si>
  <si>
    <t>Top plate</t>
  </si>
  <si>
    <t>Top cylinder</t>
  </si>
  <si>
    <t>Bottom cylinder</t>
  </si>
  <si>
    <t>Bottom plate</t>
  </si>
  <si>
    <t>Total Surface Area</t>
  </si>
  <si>
    <t>Emissivity</t>
  </si>
  <si>
    <t>Outer</t>
  </si>
  <si>
    <t>Inner</t>
  </si>
  <si>
    <t>Stefan-Boltzmann</t>
  </si>
  <si>
    <r>
      <t xml:space="preserve">Note: This power is inaccurate because the integration range is well beyond the reported fit range (as shown in the </t>
    </r>
    <r>
      <rPr>
        <i/>
        <sz val="11"/>
        <color theme="1"/>
        <rFont val="Aptos Narrow"/>
        <family val="2"/>
        <scheme val="minor"/>
      </rPr>
      <t xml:space="preserve">ConductivityParameters </t>
    </r>
    <r>
      <rPr>
        <sz val="11"/>
        <color theme="1"/>
        <rFont val="Aptos Narrow"/>
        <family val="2"/>
        <scheme val="minor"/>
      </rPr>
      <t>sheet). Excel will not notify of this problem so it is up to the user to double check the fit range manually.</t>
    </r>
  </si>
  <si>
    <t>Example of conductivity examination</t>
  </si>
  <si>
    <t>Temperature</t>
  </si>
  <si>
    <t>Conductivity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</si>
</sst>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6" formatCode="General\ &quot;m&quot;"/>
    <numFmt numFmtId="169" formatCode="General\ &quot;W&quot;"/>
    <numFmt numFmtId="172" formatCode="0.000\ &quot;m^2&quot;"/>
    <numFmt numFmtId="174" formatCode="0.000\ &quot;W/m&quot;"/>
    <numFmt numFmtId="176" formatCode="0.000E+00\ &quot;m^2&quot;"/>
    <numFmt numFmtId="177" formatCode="0.00E+00\ &quot;m&quot;"/>
    <numFmt numFmtId="178" formatCode="0.00E+00\ &quot;W&quot;"/>
  </numFmts>
  <fonts count="12" x14ac:knownFonts="1">
    <font>
      <sz val="11"/>
      <color theme="1"/>
      <name val="Aptos Narrow"/>
      <family val="2"/>
      <scheme val="minor"/>
    </font>
    <font>
      <sz val="11"/>
      <color rgb="FF0070C0"/>
      <name val="Aptos Narrow"/>
      <family val="2"/>
      <scheme val="minor"/>
    </font>
    <font>
      <sz val="11"/>
      <name val="Aptos Narrow"/>
      <family val="2"/>
      <scheme val="minor"/>
    </font>
    <font>
      <i/>
      <sz val="11"/>
      <color theme="1"/>
      <name val="Aptos Narrow"/>
      <family val="2"/>
      <scheme val="minor"/>
    </font>
    <font>
      <sz val="11"/>
      <color theme="3" tint="0.249977111117893"/>
      <name val="Aptos Narrow"/>
      <family val="2"/>
      <scheme val="minor"/>
    </font>
    <font>
      <sz val="18"/>
      <color theme="1"/>
      <name val="Aptos Narrow"/>
      <family val="2"/>
      <scheme val="minor"/>
    </font>
    <font>
      <b/>
      <sz val="11"/>
      <color theme="1"/>
      <name val="Aptos Narrow"/>
      <family val="2"/>
      <scheme val="minor"/>
    </font>
    <font>
      <b/>
      <sz val="20"/>
      <color theme="1"/>
      <name val="Aptos Narrow"/>
      <family val="2"/>
      <scheme val="minor"/>
    </font>
    <font>
      <b/>
      <sz val="11"/>
      <color rgb="FF0070C0"/>
      <name val="Aptos Narrow"/>
      <family val="2"/>
      <scheme val="minor"/>
    </font>
    <font>
      <b/>
      <sz val="11"/>
      <color rgb="FFFF0000"/>
      <name val="Aptos Narrow"/>
      <family val="2"/>
      <scheme val="minor"/>
    </font>
    <font>
      <sz val="10"/>
      <name val="Arial"/>
      <family val="2"/>
    </font>
    <font>
      <b/>
      <sz val="10"/>
      <color rgb="FF0070C0"/>
      <name val="Arial"/>
      <family val="2"/>
    </font>
  </fonts>
  <fills count="6">
    <fill>
      <patternFill patternType="none"/>
    </fill>
    <fill>
      <patternFill patternType="gray125"/>
    </fill>
    <fill>
      <patternFill patternType="solid">
        <fgColor theme="5" tint="0.7999816888943144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9" tint="0.39997558519241921"/>
        <bgColor indexed="64"/>
      </patternFill>
    </fill>
  </fills>
  <borders count="2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s>
  <cellStyleXfs count="1">
    <xf numFmtId="0" fontId="0" fillId="0" borderId="0"/>
  </cellStyleXfs>
  <cellXfs count="59">
    <xf numFmtId="0" fontId="0" fillId="0" borderId="0" xfId="0"/>
    <xf numFmtId="0" fontId="0" fillId="0" borderId="0" xfId="0" applyAlignment="1">
      <alignment horizontal="center" vertical="center"/>
    </xf>
    <xf numFmtId="0" fontId="0" fillId="0" borderId="0" xfId="0" applyAlignment="1">
      <alignment vertical="top" wrapText="1"/>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left" vertical="top"/>
    </xf>
    <xf numFmtId="0" fontId="0" fillId="0" borderId="0" xfId="0" applyAlignment="1">
      <alignment horizontal="center" vertical="top" wrapText="1"/>
    </xf>
    <xf numFmtId="0" fontId="0" fillId="0" borderId="0" xfId="0" applyAlignment="1">
      <alignment horizontal="left"/>
    </xf>
    <xf numFmtId="0" fontId="0" fillId="0" borderId="0" xfId="0" applyAlignment="1">
      <alignment horizontal="center" wrapText="1"/>
    </xf>
    <xf numFmtId="0" fontId="5" fillId="2" borderId="0" xfId="0" applyFont="1" applyFill="1" applyAlignment="1">
      <alignment horizontal="center"/>
    </xf>
    <xf numFmtId="0" fontId="7" fillId="3" borderId="0" xfId="0" applyFont="1" applyFill="1" applyAlignment="1">
      <alignment horizontal="left" vertical="center"/>
    </xf>
    <xf numFmtId="0" fontId="0" fillId="0" borderId="0" xfId="0" applyBorder="1" applyAlignment="1">
      <alignment horizontal="center" vertical="center"/>
    </xf>
    <xf numFmtId="0" fontId="0" fillId="0" borderId="8" xfId="0" applyBorder="1" applyAlignment="1">
      <alignment horizontal="center" vertical="center"/>
    </xf>
    <xf numFmtId="0" fontId="8" fillId="4" borderId="8" xfId="0" applyFont="1" applyFill="1" applyBorder="1" applyAlignment="1">
      <alignment horizontal="center" vertical="center"/>
    </xf>
    <xf numFmtId="0" fontId="8" fillId="2" borderId="8" xfId="0" applyFont="1" applyFill="1" applyBorder="1" applyAlignment="1">
      <alignment horizontal="center" vertical="center"/>
    </xf>
    <xf numFmtId="0" fontId="10" fillId="0" borderId="10" xfId="0" applyFont="1" applyBorder="1" applyAlignment="1">
      <alignment horizontal="center"/>
    </xf>
    <xf numFmtId="172" fontId="11" fillId="0" borderId="11" xfId="0" applyNumberFormat="1" applyFont="1" applyBorder="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172" fontId="2" fillId="0" borderId="11" xfId="0" applyNumberFormat="1" applyFont="1" applyBorder="1" applyAlignment="1">
      <alignment horizontal="center" vertical="center"/>
    </xf>
    <xf numFmtId="0" fontId="1" fillId="0" borderId="11" xfId="0" applyFont="1" applyBorder="1" applyAlignment="1">
      <alignment horizontal="center" vertical="center"/>
    </xf>
    <xf numFmtId="0" fontId="11" fillId="0" borderId="11" xfId="0" applyFont="1" applyBorder="1" applyAlignment="1">
      <alignment horizontal="center"/>
    </xf>
    <xf numFmtId="11" fontId="0" fillId="0" borderId="9" xfId="0" applyNumberFormat="1" applyBorder="1" applyAlignment="1">
      <alignment horizontal="center" vertical="center"/>
    </xf>
    <xf numFmtId="0" fontId="9" fillId="0" borderId="14" xfId="0" applyFont="1" applyBorder="1" applyAlignment="1">
      <alignment horizontal="center" vertical="center"/>
    </xf>
    <xf numFmtId="0" fontId="9" fillId="0" borderId="15" xfId="0" applyFont="1" applyBorder="1" applyAlignment="1">
      <alignment horizontal="center" vertical="center"/>
    </xf>
    <xf numFmtId="0" fontId="0" fillId="0" borderId="12" xfId="0" applyBorder="1" applyAlignment="1">
      <alignment horizontal="center" vertical="center"/>
    </xf>
    <xf numFmtId="0" fontId="8" fillId="0" borderId="13" xfId="0" applyFont="1" applyBorder="1" applyAlignment="1">
      <alignment horizontal="center" vertical="center"/>
    </xf>
    <xf numFmtId="166" fontId="8" fillId="0" borderId="11" xfId="0" applyNumberFormat="1" applyFont="1" applyBorder="1" applyAlignment="1">
      <alignment horizontal="center" vertical="center"/>
    </xf>
    <xf numFmtId="176" fontId="2" fillId="0" borderId="11" xfId="0" applyNumberFormat="1" applyFont="1" applyBorder="1" applyAlignment="1">
      <alignment horizontal="center" vertical="center"/>
    </xf>
    <xf numFmtId="177" fontId="2" fillId="0" borderId="11" xfId="0" applyNumberFormat="1" applyFont="1" applyBorder="1" applyAlignment="1">
      <alignment horizontal="center" vertical="center"/>
    </xf>
    <xf numFmtId="174" fontId="2" fillId="0" borderId="11" xfId="0" applyNumberFormat="1" applyFont="1" applyBorder="1" applyAlignment="1">
      <alignment horizontal="center" vertical="center"/>
    </xf>
    <xf numFmtId="0" fontId="8" fillId="0" borderId="11" xfId="0" applyFont="1" applyBorder="1" applyAlignment="1">
      <alignment horizontal="center" vertical="center"/>
    </xf>
    <xf numFmtId="0" fontId="8" fillId="0" borderId="0" xfId="0" applyFont="1" applyBorder="1" applyAlignment="1">
      <alignment horizontal="center" vertical="center"/>
    </xf>
    <xf numFmtId="166" fontId="8" fillId="0" borderId="0" xfId="0" applyNumberFormat="1" applyFont="1" applyBorder="1" applyAlignment="1">
      <alignment horizontal="center" vertical="center"/>
    </xf>
    <xf numFmtId="176" fontId="2" fillId="0" borderId="0" xfId="0" applyNumberFormat="1" applyFont="1" applyBorder="1" applyAlignment="1">
      <alignment horizontal="center" vertical="center"/>
    </xf>
    <xf numFmtId="177" fontId="2" fillId="0" borderId="0" xfId="0" applyNumberFormat="1" applyFont="1" applyBorder="1" applyAlignment="1">
      <alignment horizontal="center" vertical="center"/>
    </xf>
    <xf numFmtId="0" fontId="1" fillId="0" borderId="0" xfId="0" applyFont="1" applyBorder="1" applyAlignment="1">
      <alignment horizontal="center" vertical="center"/>
    </xf>
    <xf numFmtId="174" fontId="2" fillId="0" borderId="0" xfId="0" applyNumberFormat="1" applyFont="1" applyBorder="1" applyAlignment="1">
      <alignment horizontal="center" vertical="center"/>
    </xf>
    <xf numFmtId="0" fontId="9" fillId="0" borderId="16" xfId="0" applyFont="1" applyBorder="1" applyAlignment="1">
      <alignment horizontal="center" vertical="center"/>
    </xf>
    <xf numFmtId="0" fontId="9" fillId="0" borderId="17" xfId="0" applyFont="1" applyBorder="1" applyAlignment="1">
      <alignment horizontal="center" vertical="center"/>
    </xf>
    <xf numFmtId="0" fontId="9" fillId="0" borderId="18" xfId="0" applyFont="1" applyBorder="1" applyAlignment="1">
      <alignment horizontal="center" vertical="center"/>
    </xf>
    <xf numFmtId="0" fontId="6" fillId="2" borderId="1" xfId="0" applyFont="1" applyFill="1" applyBorder="1" applyAlignment="1">
      <alignment horizontal="left" vertical="center"/>
    </xf>
    <xf numFmtId="0" fontId="0" fillId="2" borderId="2" xfId="0" applyFill="1" applyBorder="1" applyAlignment="1">
      <alignment horizontal="left" vertical="center"/>
    </xf>
    <xf numFmtId="0" fontId="0" fillId="2" borderId="2" xfId="0" applyFill="1" applyBorder="1" applyAlignment="1">
      <alignment horizontal="center" vertical="center"/>
    </xf>
    <xf numFmtId="11" fontId="0" fillId="2" borderId="2" xfId="0" applyNumberFormat="1" applyFill="1" applyBorder="1" applyAlignment="1">
      <alignment horizontal="center" vertical="center"/>
    </xf>
    <xf numFmtId="169" fontId="4" fillId="2" borderId="3" xfId="0" applyNumberFormat="1" applyFont="1" applyFill="1" applyBorder="1" applyAlignment="1">
      <alignment horizontal="center" vertical="center"/>
    </xf>
    <xf numFmtId="11" fontId="0" fillId="0" borderId="0" xfId="0" applyNumberFormat="1" applyBorder="1" applyAlignment="1">
      <alignment horizontal="center" vertical="center"/>
    </xf>
    <xf numFmtId="0" fontId="0" fillId="0" borderId="5" xfId="0" applyBorder="1" applyAlignment="1">
      <alignment vertical="center"/>
    </xf>
    <xf numFmtId="0" fontId="0" fillId="0" borderId="19" xfId="0" applyBorder="1" applyAlignment="1">
      <alignment horizontal="center" vertical="center"/>
    </xf>
    <xf numFmtId="0" fontId="0" fillId="0" borderId="21" xfId="0" applyBorder="1" applyAlignment="1">
      <alignment horizontal="center" vertical="center"/>
    </xf>
    <xf numFmtId="178" fontId="0" fillId="5" borderId="20" xfId="0" applyNumberFormat="1" applyFill="1" applyBorder="1" applyAlignment="1">
      <alignment horizontal="center" vertical="center"/>
    </xf>
    <xf numFmtId="0" fontId="6" fillId="0" borderId="6" xfId="0" applyFont="1" applyBorder="1" applyAlignment="1">
      <alignment horizontal="center" vertical="center"/>
    </xf>
    <xf numFmtId="0" fontId="6" fillId="0" borderId="2" xfId="0" applyFont="1" applyBorder="1" applyAlignment="1">
      <alignment horizontal="center" vertical="center"/>
    </xf>
    <xf numFmtId="178" fontId="2" fillId="0" borderId="0" xfId="0" applyNumberFormat="1" applyFont="1" applyBorder="1" applyAlignment="1">
      <alignment horizontal="center" vertical="center"/>
    </xf>
    <xf numFmtId="0" fontId="6" fillId="0" borderId="0" xfId="0" applyFont="1" applyAlignment="1">
      <alignment horizontal="left" vertical="center"/>
    </xf>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106680</xdr:colOff>
      <xdr:row>27</xdr:row>
      <xdr:rowOff>0</xdr:rowOff>
    </xdr:from>
    <xdr:to>
      <xdr:col>3</xdr:col>
      <xdr:colOff>403860</xdr:colOff>
      <xdr:row>28</xdr:row>
      <xdr:rowOff>7620</xdr:rowOff>
    </xdr:to>
    <xdr:sp macro="" textlink="">
      <xdr:nvSpPr>
        <xdr:cNvPr id="2" name="Arrow: Up 1">
          <a:extLst>
            <a:ext uri="{FF2B5EF4-FFF2-40B4-BE49-F238E27FC236}">
              <a16:creationId xmlns:a16="http://schemas.microsoft.com/office/drawing/2014/main" id="{6E78FAD2-37B1-C092-B854-9C3B3488EAD3}"/>
            </a:ext>
          </a:extLst>
        </xdr:cNvPr>
        <xdr:cNvSpPr/>
      </xdr:nvSpPr>
      <xdr:spPr>
        <a:xfrm>
          <a:off x="3352800" y="5113020"/>
          <a:ext cx="297180" cy="190500"/>
        </a:xfrm>
        <a:prstGeom prst="up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28575</xdr:colOff>
      <xdr:row>21</xdr:row>
      <xdr:rowOff>142875</xdr:rowOff>
    </xdr:from>
    <xdr:to>
      <xdr:col>6</xdr:col>
      <xdr:colOff>381390</xdr:colOff>
      <xdr:row>40</xdr:row>
      <xdr:rowOff>38591</xdr:rowOff>
    </xdr:to>
    <xdr:pic>
      <xdr:nvPicPr>
        <xdr:cNvPr id="2" name="Picture 1">
          <a:extLst>
            <a:ext uri="{FF2B5EF4-FFF2-40B4-BE49-F238E27FC236}">
              <a16:creationId xmlns:a16="http://schemas.microsoft.com/office/drawing/2014/main" id="{3B300B9B-FFB2-EF9D-0BF9-64AD4A366923}"/>
            </a:ext>
          </a:extLst>
        </xdr:cNvPr>
        <xdr:cNvPicPr>
          <a:picLocks noChangeAspect="1"/>
        </xdr:cNvPicPr>
      </xdr:nvPicPr>
      <xdr:blipFill>
        <a:blip xmlns:r="http://schemas.openxmlformats.org/officeDocument/2006/relationships" r:embed="rId1"/>
        <a:stretch>
          <a:fillRect/>
        </a:stretch>
      </xdr:blipFill>
      <xdr:spPr>
        <a:xfrm>
          <a:off x="1247775" y="4143375"/>
          <a:ext cx="2791215" cy="3515216"/>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D27B7E3-EE4A-4E3A-97B0-769A19B8993C}" autoFormatId="16" applyNumberFormats="0" applyBorderFormats="0" applyFontFormats="0" applyPatternFormats="0" applyAlignmentFormats="0" applyWidthHeightFormats="0">
  <queryTableRefresh nextId="20">
    <queryTableFields count="19">
      <queryTableField id="1" name="Material Name" tableColumnId="1"/>
      <queryTableField id="2" name="Fit Type" tableColumnId="2"/>
      <queryTableField id="3" name="Low Temp" tableColumnId="3"/>
      <queryTableField id="4" name="High Temp" tableColumnId="4"/>
      <queryTableField id="5" name="Perc Err" tableColumnId="5"/>
      <queryTableField id="6" name="erf param" tableColumnId="6"/>
      <queryTableField id="7" name="a" tableColumnId="7"/>
      <queryTableField id="8" name="b" tableColumnId="8"/>
      <queryTableField id="9" name="c" tableColumnId="9"/>
      <queryTableField id="10" name="d" tableColumnId="10"/>
      <queryTableField id="11" name="e" tableColumnId="11"/>
      <queryTableField id="12" name="f" tableColumnId="12"/>
      <queryTableField id="13" name="g" tableColumnId="13"/>
      <queryTableField id="14" name="h" tableColumnId="14"/>
      <queryTableField id="15" name="i" tableColumnId="15"/>
      <queryTableField id="16" name="A.1" tableColumnId="16"/>
      <queryTableField id="17" name="B.1" tableColumnId="17"/>
      <queryTableField id="18" name="C.1" tableColumnId="18"/>
      <queryTableField id="19" name="D.1" tableColumnId="1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8B235E-440C-4183-B560-DF9F7E45717B}" name="tc_fullrepo_20240701" displayName="tc_fullrepo_20240701" ref="A1:S79" tableType="queryTable" totalsRowShown="0">
  <autoFilter ref="A1:S79" xr:uid="{F78B235E-440C-4183-B560-DF9F7E45717B}"/>
  <tableColumns count="19">
    <tableColumn id="1" xr3:uid="{F9AFA809-252B-4331-88DA-6E94E6292597}" uniqueName="1" name="Material Name" queryTableFieldId="1" dataDxfId="2"/>
    <tableColumn id="2" xr3:uid="{3D86429E-DD04-40DB-B6D7-1DA745489148}" uniqueName="2" name="Fit Type" queryTableFieldId="2" dataDxfId="1"/>
    <tableColumn id="3" xr3:uid="{F1D9BA6C-C1A1-4266-A9D5-0D4BE13F3800}" uniqueName="3" name="Low Temp" queryTableFieldId="3"/>
    <tableColumn id="4" xr3:uid="{6A585834-60A6-4C7B-A96F-6F1DDD9B0A55}" uniqueName="4" name="High Temp" queryTableFieldId="4"/>
    <tableColumn id="5" xr3:uid="{D68EE630-D7F4-420F-B562-5CC098780C28}" uniqueName="5" name="Perc Err" queryTableFieldId="5" dataDxfId="0"/>
    <tableColumn id="6" xr3:uid="{A5381C87-1528-4CAB-A7CA-F03524FF9C17}" uniqueName="6" name="erf param" queryTableFieldId="6"/>
    <tableColumn id="7" xr3:uid="{2DD44F0D-F2B7-4CA7-A856-AAAB59A0BEF3}" uniqueName="7" name="a" queryTableFieldId="7"/>
    <tableColumn id="8" xr3:uid="{5D68DF69-3081-4F2C-94EF-4DA6DEA92AAF}" uniqueName="8" name="b" queryTableFieldId="8"/>
    <tableColumn id="9" xr3:uid="{EA015B8E-999A-4501-8FEF-DC4FC6710273}" uniqueName="9" name="c" queryTableFieldId="9"/>
    <tableColumn id="10" xr3:uid="{4B686E88-0826-4195-BE92-ECC6A0D3CB6D}" uniqueName="10" name="d" queryTableFieldId="10"/>
    <tableColumn id="11" xr3:uid="{1FB2E9A8-C82D-4814-A2B6-50B5508BC9E4}" uniqueName="11" name="e" queryTableFieldId="11"/>
    <tableColumn id="12" xr3:uid="{962ADB57-3D5A-424C-930B-D7BBBC01063E}" uniqueName="12" name="f" queryTableFieldId="12"/>
    <tableColumn id="13" xr3:uid="{0DBBF2CB-E577-4D24-932B-23C7ADA08F97}" uniqueName="13" name="g" queryTableFieldId="13"/>
    <tableColumn id="14" xr3:uid="{4DBD4337-1C5C-4DD8-AC6C-94F9FA67EE16}" uniqueName="14" name="h" queryTableFieldId="14"/>
    <tableColumn id="15" xr3:uid="{E8F6C7AB-5635-4DE1-8B66-8960DE5870B9}" uniqueName="15" name="i" queryTableFieldId="15"/>
    <tableColumn id="16" xr3:uid="{E4792D40-D47C-4A89-A642-7BB87158EB57}" uniqueName="16" name="A.1" queryTableFieldId="16"/>
    <tableColumn id="17" xr3:uid="{AA083CFF-A19C-42CB-9B72-6983A13B69E6}" uniqueName="17" name="B.1" queryTableFieldId="17"/>
    <tableColumn id="18" xr3:uid="{C34F6318-0A27-4ECA-A915-78F5DED59192}" uniqueName="18" name="C.1" queryTableFieldId="18"/>
    <tableColumn id="19" xr3:uid="{427C2DE7-102D-429A-8A51-74B4473E3C43}" uniqueName="19" name="D.1" queryTableField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5F132-FC07-44CB-A802-43AEED96AED7}">
  <sheetPr codeName="Sheet1"/>
  <dimension ref="A1:I43"/>
  <sheetViews>
    <sheetView tabSelected="1" workbookViewId="0">
      <selection activeCell="C39" sqref="C39"/>
    </sheetView>
  </sheetViews>
  <sheetFormatPr defaultColWidth="8.88671875" defaultRowHeight="14.4" x14ac:dyDescent="0.3"/>
  <cols>
    <col min="1" max="9" width="15.77734375" style="1" customWidth="1"/>
    <col min="10" max="16384" width="8.88671875" style="1"/>
  </cols>
  <sheetData>
    <row r="1" spans="1:9" ht="25.8" x14ac:dyDescent="0.3">
      <c r="A1" s="14" t="s">
        <v>0</v>
      </c>
      <c r="B1" s="14"/>
      <c r="C1" s="14"/>
      <c r="D1" s="14"/>
    </row>
    <row r="2" spans="1:9" ht="15" thickBot="1" x14ac:dyDescent="0.35"/>
    <row r="3" spans="1:9" x14ac:dyDescent="0.3">
      <c r="A3" s="3"/>
      <c r="B3" s="56" t="s">
        <v>107</v>
      </c>
      <c r="C3" s="56" t="s">
        <v>166</v>
      </c>
      <c r="D3" s="4"/>
      <c r="E3" s="4"/>
      <c r="F3" s="4"/>
      <c r="G3" s="4"/>
      <c r="H3" s="4"/>
      <c r="I3" s="5" t="s">
        <v>179</v>
      </c>
    </row>
    <row r="4" spans="1:9" ht="15" thickBot="1" x14ac:dyDescent="0.35">
      <c r="A4" s="55" t="s">
        <v>106</v>
      </c>
      <c r="B4" s="18">
        <v>290</v>
      </c>
      <c r="C4" s="17">
        <v>40</v>
      </c>
      <c r="D4" s="16"/>
      <c r="E4" s="16"/>
      <c r="F4" s="16"/>
      <c r="G4" s="16"/>
      <c r="H4" s="16"/>
      <c r="I4" s="26">
        <v>5.6699999999999998E-8</v>
      </c>
    </row>
    <row r="5" spans="1:9" x14ac:dyDescent="0.3">
      <c r="A5" s="15"/>
      <c r="B5" s="15"/>
      <c r="C5" s="15"/>
      <c r="D5" s="15"/>
      <c r="E5" s="15"/>
      <c r="F5" s="15"/>
      <c r="G5" s="15"/>
      <c r="H5" s="15"/>
      <c r="I5" s="15"/>
    </row>
    <row r="6" spans="1:9" x14ac:dyDescent="0.3">
      <c r="A6" s="15"/>
      <c r="B6" s="15"/>
      <c r="C6" s="15"/>
      <c r="D6" s="15"/>
      <c r="E6" s="15"/>
      <c r="F6" s="15"/>
      <c r="G6" s="15"/>
      <c r="H6" s="15"/>
      <c r="I6" s="15"/>
    </row>
    <row r="7" spans="1:9" ht="15" thickBot="1" x14ac:dyDescent="0.35"/>
    <row r="8" spans="1:9" x14ac:dyDescent="0.3">
      <c r="A8" s="45" t="s">
        <v>167</v>
      </c>
      <c r="B8" s="46"/>
      <c r="C8" s="46"/>
      <c r="D8" s="47"/>
      <c r="E8" s="47"/>
      <c r="F8" s="47"/>
      <c r="G8" s="47"/>
      <c r="H8" s="48"/>
      <c r="I8" s="49"/>
    </row>
    <row r="9" spans="1:9" x14ac:dyDescent="0.3">
      <c r="A9" s="6"/>
      <c r="B9" s="15"/>
      <c r="C9" s="15"/>
      <c r="D9" s="15"/>
      <c r="E9" s="15"/>
      <c r="F9" s="15"/>
      <c r="G9" s="15"/>
      <c r="H9" s="50"/>
      <c r="I9" s="7"/>
    </row>
    <row r="10" spans="1:9" x14ac:dyDescent="0.3">
      <c r="A10" s="44" t="s">
        <v>4</v>
      </c>
      <c r="B10" s="43"/>
      <c r="C10" s="44" t="s">
        <v>156</v>
      </c>
      <c r="D10" s="43"/>
      <c r="E10" s="44" t="s">
        <v>168</v>
      </c>
      <c r="F10" s="42"/>
      <c r="G10" s="27" t="s">
        <v>169</v>
      </c>
      <c r="H10" s="28"/>
      <c r="I10" s="51"/>
    </row>
    <row r="11" spans="1:9" x14ac:dyDescent="0.25">
      <c r="A11" s="6" t="s">
        <v>1</v>
      </c>
      <c r="B11" s="36" t="s">
        <v>54</v>
      </c>
      <c r="C11" s="29" t="s">
        <v>1</v>
      </c>
      <c r="D11" s="30" t="s">
        <v>22</v>
      </c>
      <c r="E11" s="29" t="s">
        <v>1</v>
      </c>
      <c r="F11" s="30" t="s">
        <v>70</v>
      </c>
      <c r="G11" s="19" t="s">
        <v>171</v>
      </c>
      <c r="H11" s="20">
        <f>166000/1000000</f>
        <v>0.16600000000000001</v>
      </c>
      <c r="I11" s="7"/>
    </row>
    <row r="12" spans="1:9" x14ac:dyDescent="0.25">
      <c r="A12" s="6"/>
      <c r="B12" s="15"/>
      <c r="C12" s="21"/>
      <c r="D12" s="22"/>
      <c r="E12" s="21"/>
      <c r="F12" s="22"/>
      <c r="G12" s="19" t="s">
        <v>172</v>
      </c>
      <c r="H12" s="20">
        <f>679000/1000000</f>
        <v>0.67900000000000005</v>
      </c>
      <c r="I12" s="7"/>
    </row>
    <row r="13" spans="1:9" x14ac:dyDescent="0.25">
      <c r="A13" s="6" t="s">
        <v>2</v>
      </c>
      <c r="B13" s="37">
        <v>0.5</v>
      </c>
      <c r="C13" s="21" t="s">
        <v>2</v>
      </c>
      <c r="D13" s="31">
        <v>5.0000000000000001E-3</v>
      </c>
      <c r="E13" s="21" t="s">
        <v>2</v>
      </c>
      <c r="F13" s="31">
        <v>1E-4</v>
      </c>
      <c r="G13" s="19" t="s">
        <v>173</v>
      </c>
      <c r="H13" s="20">
        <f>1218000/1000000</f>
        <v>1.218</v>
      </c>
      <c r="I13" s="7"/>
    </row>
    <row r="14" spans="1:9" x14ac:dyDescent="0.25">
      <c r="A14" s="6" t="s">
        <v>103</v>
      </c>
      <c r="B14" s="37">
        <f>0.5-0.004</f>
        <v>0.496</v>
      </c>
      <c r="C14" s="21" t="s">
        <v>103</v>
      </c>
      <c r="D14" s="31">
        <v>4.0000000000000001E-3</v>
      </c>
      <c r="E14" s="21" t="s">
        <v>103</v>
      </c>
      <c r="F14" s="31">
        <v>0</v>
      </c>
      <c r="G14" s="19" t="s">
        <v>174</v>
      </c>
      <c r="H14" s="20">
        <f>135000/1000000</f>
        <v>0.13500000000000001</v>
      </c>
      <c r="I14" s="7"/>
    </row>
    <row r="15" spans="1:9" x14ac:dyDescent="0.3">
      <c r="A15" s="6" t="s">
        <v>102</v>
      </c>
      <c r="B15" s="38">
        <f>(PI()*(B13/2)^2)-(PI()*(B14/2)^2)</f>
        <v>3.1290262829754556E-3</v>
      </c>
      <c r="C15" s="21" t="s">
        <v>102</v>
      </c>
      <c r="D15" s="32">
        <f>(PI()*(D13/2)^2)-(PI()*(D14/2)^2)</f>
        <v>7.0685834705770352E-6</v>
      </c>
      <c r="E15" s="21" t="s">
        <v>102</v>
      </c>
      <c r="F15" s="32">
        <f>(PI()*(F13/2)^2)-(PI()*(F14/2)^2)</f>
        <v>7.8539816339744827E-9</v>
      </c>
      <c r="G15" s="21"/>
      <c r="H15" s="22"/>
      <c r="I15" s="7"/>
    </row>
    <row r="16" spans="1:9" x14ac:dyDescent="0.25">
      <c r="A16" s="6"/>
      <c r="B16" s="15"/>
      <c r="C16" s="21"/>
      <c r="D16" s="22"/>
      <c r="E16" s="21"/>
      <c r="F16" s="22"/>
      <c r="G16" s="19" t="s">
        <v>175</v>
      </c>
      <c r="H16" s="23">
        <f>H11+H12+H13+H14</f>
        <v>2.1980000000000004</v>
      </c>
      <c r="I16" s="7"/>
    </row>
    <row r="17" spans="1:9" x14ac:dyDescent="0.3">
      <c r="A17" s="6" t="s">
        <v>3</v>
      </c>
      <c r="B17" s="37">
        <v>0.5</v>
      </c>
      <c r="C17" s="21" t="s">
        <v>3</v>
      </c>
      <c r="D17" s="31">
        <v>0.1</v>
      </c>
      <c r="E17" s="21" t="s">
        <v>3</v>
      </c>
      <c r="F17" s="31">
        <v>0.1</v>
      </c>
      <c r="G17" s="21"/>
      <c r="H17" s="22"/>
      <c r="I17" s="7"/>
    </row>
    <row r="18" spans="1:9" x14ac:dyDescent="0.3">
      <c r="A18" s="6" t="s">
        <v>5</v>
      </c>
      <c r="B18" s="39">
        <f>B15/B17</f>
        <v>6.2580525659509112E-3</v>
      </c>
      <c r="C18" s="21" t="s">
        <v>5</v>
      </c>
      <c r="D18" s="33">
        <f>0.0000858418</f>
        <v>8.5841799999999995E-5</v>
      </c>
      <c r="E18" s="21" t="s">
        <v>5</v>
      </c>
      <c r="F18" s="33">
        <f>F15/F17</f>
        <v>7.8539816339744817E-8</v>
      </c>
      <c r="G18" s="21" t="s">
        <v>176</v>
      </c>
      <c r="H18" s="22"/>
      <c r="I18" s="7"/>
    </row>
    <row r="19" spans="1:9" x14ac:dyDescent="0.25">
      <c r="A19" s="6"/>
      <c r="B19" s="40"/>
      <c r="C19" s="21"/>
      <c r="D19" s="24"/>
      <c r="E19" s="21"/>
      <c r="F19" s="24"/>
      <c r="G19" s="19" t="s">
        <v>177</v>
      </c>
      <c r="H19" s="25">
        <v>0.03</v>
      </c>
      <c r="I19" s="7"/>
    </row>
    <row r="20" spans="1:9" x14ac:dyDescent="0.25">
      <c r="A20" s="6" t="s">
        <v>6</v>
      </c>
      <c r="B20" s="41">
        <f>ConInt(B11,T_ROOM,T_Stage1)</f>
        <v>147.05280023510107</v>
      </c>
      <c r="C20" s="21" t="s">
        <v>6</v>
      </c>
      <c r="D20" s="34">
        <f>ConInt(D11,T_ROOM,T_Stage1)</f>
        <v>98678156.915274814</v>
      </c>
      <c r="E20" s="21" t="s">
        <v>6</v>
      </c>
      <c r="F20" s="34">
        <f>ConInt(F11,T_ROOM,T_Stage1)</f>
        <v>4085.0159976608711</v>
      </c>
      <c r="G20" s="19" t="s">
        <v>178</v>
      </c>
      <c r="H20" s="25">
        <v>0.03</v>
      </c>
      <c r="I20" s="7"/>
    </row>
    <row r="21" spans="1:9" x14ac:dyDescent="0.3">
      <c r="A21" s="6"/>
      <c r="B21" s="15"/>
      <c r="C21" s="21"/>
      <c r="D21" s="22"/>
      <c r="E21" s="21"/>
      <c r="F21" s="22"/>
      <c r="G21" s="21"/>
      <c r="H21" s="22"/>
      <c r="I21" s="7"/>
    </row>
    <row r="22" spans="1:9" x14ac:dyDescent="0.3">
      <c r="A22" s="6" t="s">
        <v>105</v>
      </c>
      <c r="B22" s="57">
        <f>B18*B20</f>
        <v>0.92026415384154103</v>
      </c>
      <c r="C22" s="21" t="s">
        <v>105</v>
      </c>
      <c r="D22" s="57">
        <f>D18*D20</f>
        <v>8470.7106102896378</v>
      </c>
      <c r="E22" s="21" t="s">
        <v>105</v>
      </c>
      <c r="F22" s="57">
        <f>F18*F20</f>
        <v>3.2083640620120425E-4</v>
      </c>
      <c r="G22" s="21"/>
      <c r="H22" s="22"/>
      <c r="I22" s="7"/>
    </row>
    <row r="23" spans="1:9" x14ac:dyDescent="0.3">
      <c r="A23" s="6" t="s">
        <v>104</v>
      </c>
      <c r="B23" s="36">
        <v>1</v>
      </c>
      <c r="C23" s="21" t="s">
        <v>104</v>
      </c>
      <c r="D23" s="35">
        <v>3</v>
      </c>
      <c r="E23" s="21" t="s">
        <v>104</v>
      </c>
      <c r="F23" s="35">
        <v>10</v>
      </c>
      <c r="G23" s="21"/>
      <c r="H23" s="22"/>
      <c r="I23" s="7"/>
    </row>
    <row r="24" spans="1:9" x14ac:dyDescent="0.3">
      <c r="A24" s="6"/>
      <c r="B24" s="15"/>
      <c r="C24" s="21"/>
      <c r="D24" s="22"/>
      <c r="E24" s="21"/>
      <c r="F24" s="22"/>
      <c r="G24" s="21"/>
      <c r="H24" s="22"/>
      <c r="I24" s="7"/>
    </row>
    <row r="25" spans="1:9" x14ac:dyDescent="0.3">
      <c r="A25" s="6"/>
      <c r="B25" s="15"/>
      <c r="C25" s="21"/>
      <c r="D25" s="22"/>
      <c r="E25" s="21"/>
      <c r="F25" s="22"/>
      <c r="G25" s="21"/>
      <c r="H25" s="22"/>
      <c r="I25" s="7"/>
    </row>
    <row r="26" spans="1:9" x14ac:dyDescent="0.3">
      <c r="A26" s="6"/>
      <c r="B26" s="15"/>
      <c r="C26" s="21"/>
      <c r="D26" s="22"/>
      <c r="E26" s="21"/>
      <c r="F26" s="22"/>
      <c r="G26" s="21"/>
      <c r="H26" s="22"/>
      <c r="I26" s="7"/>
    </row>
    <row r="27" spans="1:9" ht="15" customHeight="1" thickBot="1" x14ac:dyDescent="0.35">
      <c r="A27" s="52" t="s">
        <v>170</v>
      </c>
      <c r="B27" s="54">
        <f>B22*B23</f>
        <v>0.92026415384154103</v>
      </c>
      <c r="C27" s="53" t="s">
        <v>170</v>
      </c>
      <c r="D27" s="54">
        <f>D22*D23</f>
        <v>25412.131830868915</v>
      </c>
      <c r="E27" s="53" t="s">
        <v>170</v>
      </c>
      <c r="F27" s="54">
        <f>F22*F23</f>
        <v>3.2083640620120426E-3</v>
      </c>
      <c r="G27" s="53" t="s">
        <v>170</v>
      </c>
      <c r="H27" s="54" cm="1">
        <f t="array" ref="H27">H16*C_SB*(T_ROOM^4-T_Stage1^4)/(1/H19+1/H20-1)</f>
        <v>13.418394192639596</v>
      </c>
      <c r="I27" s="8"/>
    </row>
    <row r="29" spans="1:9" x14ac:dyDescent="0.3">
      <c r="D29" s="10" t="s">
        <v>180</v>
      </c>
      <c r="E29" s="10"/>
      <c r="F29" s="10"/>
      <c r="G29" s="10"/>
      <c r="H29" s="10"/>
    </row>
    <row r="30" spans="1:9" x14ac:dyDescent="0.3">
      <c r="A30" s="58" t="s">
        <v>181</v>
      </c>
      <c r="B30" s="58"/>
      <c r="C30" s="58"/>
      <c r="D30" s="10"/>
      <c r="E30" s="10"/>
      <c r="F30" s="10"/>
      <c r="G30" s="10"/>
      <c r="H30" s="10"/>
    </row>
    <row r="31" spans="1:9" x14ac:dyDescent="0.3">
      <c r="A31" s="1" t="s">
        <v>1</v>
      </c>
      <c r="B31" s="36" t="s">
        <v>54</v>
      </c>
      <c r="D31" s="10"/>
      <c r="E31" s="10"/>
      <c r="F31" s="10"/>
      <c r="G31" s="10"/>
      <c r="H31" s="10"/>
    </row>
    <row r="32" spans="1:9" x14ac:dyDescent="0.3">
      <c r="D32" s="10"/>
      <c r="E32" s="10"/>
      <c r="F32" s="10"/>
      <c r="G32" s="10"/>
      <c r="H32" s="10"/>
    </row>
    <row r="33" spans="1:8" x14ac:dyDescent="0.3">
      <c r="A33" s="1" t="s">
        <v>182</v>
      </c>
      <c r="B33" s="1" t="s">
        <v>183</v>
      </c>
      <c r="D33" s="10"/>
      <c r="E33" s="10"/>
      <c r="F33" s="10"/>
      <c r="G33" s="10"/>
      <c r="H33" s="10"/>
    </row>
    <row r="34" spans="1:8" x14ac:dyDescent="0.3">
      <c r="A34" s="1">
        <v>300</v>
      </c>
      <c r="B34" s="1">
        <f>Conductivity($B$31,A34)</f>
        <v>0.86363784173592995</v>
      </c>
      <c r="D34" s="10"/>
      <c r="E34" s="10"/>
      <c r="F34" s="10"/>
      <c r="G34" s="10"/>
      <c r="H34" s="10"/>
    </row>
    <row r="35" spans="1:8" ht="14.4" customHeight="1" x14ac:dyDescent="0.3">
      <c r="A35" s="1">
        <v>270</v>
      </c>
      <c r="B35" s="1">
        <f t="shared" ref="B35:B43" si="0">Conductivity($B$31,A35)</f>
        <v>0.80944658325951302</v>
      </c>
      <c r="D35" s="10"/>
      <c r="E35" s="10"/>
      <c r="F35" s="10"/>
      <c r="G35" s="10"/>
      <c r="H35" s="10"/>
    </row>
    <row r="36" spans="1:8" x14ac:dyDescent="0.3">
      <c r="A36" s="1">
        <v>240</v>
      </c>
      <c r="B36" s="1">
        <f t="shared" si="0"/>
        <v>0.75303064945782228</v>
      </c>
      <c r="D36" s="10"/>
      <c r="E36" s="10"/>
      <c r="F36" s="10"/>
      <c r="G36" s="10"/>
      <c r="H36" s="10"/>
    </row>
    <row r="37" spans="1:8" x14ac:dyDescent="0.3">
      <c r="A37" s="1">
        <v>210</v>
      </c>
      <c r="B37" s="1">
        <f t="shared" si="0"/>
        <v>0.69428912817043387</v>
      </c>
    </row>
    <row r="38" spans="1:8" x14ac:dyDescent="0.3">
      <c r="A38" s="1">
        <v>180</v>
      </c>
      <c r="B38" s="1">
        <f t="shared" si="0"/>
        <v>0.63279783294245651</v>
      </c>
    </row>
    <row r="39" spans="1:8" x14ac:dyDescent="0.3">
      <c r="A39" s="1">
        <v>150</v>
      </c>
      <c r="B39" s="1">
        <f t="shared" si="0"/>
        <v>0.56773447818827749</v>
      </c>
    </row>
    <row r="40" spans="1:8" x14ac:dyDescent="0.3">
      <c r="A40" s="1">
        <v>120</v>
      </c>
      <c r="B40" s="1">
        <f t="shared" si="0"/>
        <v>0.49782931163538197</v>
      </c>
    </row>
    <row r="41" spans="1:8" x14ac:dyDescent="0.3">
      <c r="A41" s="1">
        <v>90</v>
      </c>
      <c r="B41" s="1">
        <f t="shared" si="0"/>
        <v>0.42141688748663886</v>
      </c>
    </row>
    <row r="42" spans="1:8" x14ac:dyDescent="0.3">
      <c r="A42" s="1">
        <v>60</v>
      </c>
      <c r="B42" s="1">
        <f t="shared" si="0"/>
        <v>0.33664443310141601</v>
      </c>
    </row>
    <row r="43" spans="1:8" x14ac:dyDescent="0.3">
      <c r="A43" s="1">
        <v>30</v>
      </c>
      <c r="B43" s="1">
        <f t="shared" si="0"/>
        <v>0.23928091637367224</v>
      </c>
    </row>
  </sheetData>
  <mergeCells count="7">
    <mergeCell ref="D29:H36"/>
    <mergeCell ref="A1:D1"/>
    <mergeCell ref="A10:B10"/>
    <mergeCell ref="C10:D10"/>
    <mergeCell ref="E10:F10"/>
    <mergeCell ref="G10:H10"/>
    <mergeCell ref="A30:C30"/>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E65E1308-7B37-499B-B627-09E71644374E}">
          <x14:formula1>
            <xm:f>ConductivityParameters!$A:$A</xm:f>
          </x14:formula1>
          <xm:sqref>B11 F11 D11 B31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FFF07-82A1-4D3A-A432-731B4F513E59}">
  <sheetPr codeName="Sheet2"/>
  <dimension ref="B2:L47"/>
  <sheetViews>
    <sheetView workbookViewId="0">
      <selection activeCell="J44" sqref="J44"/>
    </sheetView>
  </sheetViews>
  <sheetFormatPr defaultRowHeight="14.4" x14ac:dyDescent="0.3"/>
  <cols>
    <col min="8" max="8" width="9.6640625" customWidth="1"/>
  </cols>
  <sheetData>
    <row r="2" spans="2:10" x14ac:dyDescent="0.3">
      <c r="B2" t="s">
        <v>152</v>
      </c>
    </row>
    <row r="4" spans="2:10" ht="15" customHeight="1" x14ac:dyDescent="0.3">
      <c r="B4" s="10" t="s">
        <v>153</v>
      </c>
      <c r="C4" s="10"/>
      <c r="D4" s="10"/>
      <c r="E4" s="10"/>
      <c r="F4" s="10"/>
      <c r="G4" s="10"/>
      <c r="H4" s="10"/>
      <c r="I4" s="10"/>
      <c r="J4" s="10"/>
    </row>
    <row r="5" spans="2:10" x14ac:dyDescent="0.3">
      <c r="B5" s="10"/>
      <c r="C5" s="10"/>
      <c r="D5" s="10"/>
      <c r="E5" s="10"/>
      <c r="F5" s="10"/>
      <c r="G5" s="10"/>
      <c r="H5" s="10"/>
      <c r="I5" s="10"/>
      <c r="J5" s="10"/>
    </row>
    <row r="6" spans="2:10" x14ac:dyDescent="0.3">
      <c r="B6" s="10"/>
      <c r="C6" s="10"/>
      <c r="D6" s="10"/>
      <c r="E6" s="10"/>
      <c r="F6" s="10"/>
      <c r="G6" s="10"/>
      <c r="H6" s="10"/>
      <c r="I6" s="10"/>
      <c r="J6" s="10"/>
    </row>
    <row r="7" spans="2:10" x14ac:dyDescent="0.3">
      <c r="B7" s="10"/>
      <c r="C7" s="10"/>
      <c r="D7" s="10"/>
      <c r="E7" s="10"/>
      <c r="F7" s="10"/>
      <c r="G7" s="10"/>
      <c r="H7" s="10"/>
      <c r="I7" s="10"/>
      <c r="J7" s="10"/>
    </row>
    <row r="8" spans="2:10" x14ac:dyDescent="0.3">
      <c r="B8" s="10"/>
      <c r="C8" s="10"/>
      <c r="D8" s="10"/>
      <c r="E8" s="10"/>
      <c r="F8" s="10"/>
      <c r="G8" s="10"/>
      <c r="H8" s="10"/>
      <c r="I8" s="10"/>
      <c r="J8" s="10"/>
    </row>
    <row r="9" spans="2:10" x14ac:dyDescent="0.3">
      <c r="B9" s="10"/>
      <c r="C9" s="10"/>
      <c r="D9" s="10"/>
      <c r="E9" s="10"/>
      <c r="F9" s="10"/>
      <c r="G9" s="10"/>
      <c r="H9" s="10"/>
      <c r="I9" s="10"/>
      <c r="J9" s="10"/>
    </row>
    <row r="10" spans="2:10" x14ac:dyDescent="0.3">
      <c r="B10" s="2"/>
      <c r="C10" s="2"/>
      <c r="D10" s="2"/>
      <c r="E10" s="2"/>
      <c r="F10" s="2"/>
      <c r="G10" s="2"/>
      <c r="H10" s="2"/>
      <c r="I10" s="2"/>
      <c r="J10" s="2"/>
    </row>
    <row r="11" spans="2:10" x14ac:dyDescent="0.3">
      <c r="B11" s="10" t="s">
        <v>154</v>
      </c>
      <c r="C11" s="10"/>
      <c r="D11" s="10"/>
      <c r="E11" s="10"/>
      <c r="F11" s="10"/>
      <c r="G11" s="10"/>
      <c r="H11" s="10"/>
      <c r="I11" s="10"/>
      <c r="J11" s="10"/>
    </row>
    <row r="12" spans="2:10" x14ac:dyDescent="0.3">
      <c r="B12" s="10"/>
      <c r="C12" s="10"/>
      <c r="D12" s="10"/>
      <c r="E12" s="10"/>
      <c r="F12" s="10"/>
      <c r="G12" s="10"/>
      <c r="H12" s="10"/>
      <c r="I12" s="10"/>
      <c r="J12" s="10"/>
    </row>
    <row r="13" spans="2:10" x14ac:dyDescent="0.3">
      <c r="B13" s="10"/>
      <c r="C13" s="10"/>
      <c r="D13" s="10"/>
      <c r="E13" s="10"/>
      <c r="F13" s="10"/>
      <c r="G13" s="10"/>
      <c r="H13" s="10"/>
      <c r="I13" s="10"/>
      <c r="J13" s="10"/>
    </row>
    <row r="14" spans="2:10" x14ac:dyDescent="0.3">
      <c r="B14" s="10"/>
      <c r="C14" s="10"/>
      <c r="D14" s="10"/>
      <c r="E14" s="10"/>
      <c r="F14" s="10"/>
      <c r="G14" s="10"/>
      <c r="H14" s="10"/>
      <c r="I14" s="10"/>
      <c r="J14" s="10"/>
    </row>
    <row r="16" spans="2:10" x14ac:dyDescent="0.3">
      <c r="B16" s="10" t="s">
        <v>155</v>
      </c>
      <c r="C16" s="10"/>
      <c r="D16" s="10"/>
      <c r="E16" s="10"/>
      <c r="F16" s="10"/>
      <c r="G16" s="10"/>
      <c r="H16" s="10"/>
      <c r="I16" s="10"/>
      <c r="J16" s="10"/>
    </row>
    <row r="17" spans="2:12" x14ac:dyDescent="0.3">
      <c r="B17" s="10"/>
      <c r="C17" s="10"/>
      <c r="D17" s="10"/>
      <c r="E17" s="10"/>
      <c r="F17" s="10"/>
      <c r="G17" s="10"/>
      <c r="H17" s="10"/>
      <c r="I17" s="10"/>
      <c r="J17" s="10"/>
    </row>
    <row r="18" spans="2:12" x14ac:dyDescent="0.3">
      <c r="B18" s="10"/>
      <c r="C18" s="10"/>
      <c r="D18" s="10"/>
      <c r="E18" s="10"/>
      <c r="F18" s="10"/>
      <c r="G18" s="10"/>
      <c r="H18" s="10"/>
      <c r="I18" s="10"/>
      <c r="J18" s="10"/>
    </row>
    <row r="19" spans="2:12" x14ac:dyDescent="0.3">
      <c r="B19" s="10"/>
      <c r="C19" s="10"/>
      <c r="D19" s="10"/>
      <c r="E19" s="10"/>
      <c r="F19" s="10"/>
      <c r="G19" s="10"/>
      <c r="H19" s="10"/>
      <c r="I19" s="10"/>
      <c r="J19" s="10"/>
    </row>
    <row r="21" spans="2:12" x14ac:dyDescent="0.3">
      <c r="B21" t="s">
        <v>157</v>
      </c>
    </row>
    <row r="24" spans="2:12" x14ac:dyDescent="0.3">
      <c r="H24" s="9" t="s">
        <v>158</v>
      </c>
    </row>
    <row r="26" spans="2:12" ht="15" customHeight="1" x14ac:dyDescent="0.3">
      <c r="H26" s="12" t="s">
        <v>159</v>
      </c>
      <c r="I26" s="12"/>
      <c r="J26" s="12"/>
      <c r="K26" s="12"/>
      <c r="L26" s="12"/>
    </row>
    <row r="27" spans="2:12" x14ac:dyDescent="0.3">
      <c r="H27" s="12"/>
      <c r="I27" s="12"/>
      <c r="J27" s="12"/>
      <c r="K27" s="12"/>
      <c r="L27" s="12"/>
    </row>
    <row r="28" spans="2:12" x14ac:dyDescent="0.3">
      <c r="H28" s="12"/>
      <c r="I28" s="12"/>
      <c r="J28" s="12"/>
      <c r="K28" s="12"/>
      <c r="L28" s="12"/>
    </row>
    <row r="29" spans="2:12" x14ac:dyDescent="0.3">
      <c r="H29" s="12"/>
      <c r="I29" s="12"/>
      <c r="J29" s="12"/>
      <c r="K29" s="12"/>
      <c r="L29" s="12"/>
    </row>
    <row r="30" spans="2:12" x14ac:dyDescent="0.3">
      <c r="H30" s="12"/>
      <c r="I30" s="12"/>
      <c r="J30" s="12"/>
      <c r="K30" s="12"/>
      <c r="L30" s="12"/>
    </row>
    <row r="31" spans="2:12" x14ac:dyDescent="0.3">
      <c r="H31" t="s">
        <v>160</v>
      </c>
    </row>
    <row r="33" spans="2:8" x14ac:dyDescent="0.3">
      <c r="H33" t="s">
        <v>161</v>
      </c>
    </row>
    <row r="35" spans="2:8" x14ac:dyDescent="0.3">
      <c r="H35" t="s">
        <v>162</v>
      </c>
    </row>
    <row r="44" spans="2:8" ht="23.4" x14ac:dyDescent="0.45">
      <c r="B44" s="13" t="s">
        <v>163</v>
      </c>
      <c r="C44" s="13"/>
      <c r="D44" s="13"/>
    </row>
    <row r="46" spans="2:8" x14ac:dyDescent="0.3">
      <c r="B46" s="11" t="s">
        <v>164</v>
      </c>
      <c r="C46" s="11"/>
      <c r="D46" s="11"/>
      <c r="E46" s="11"/>
    </row>
    <row r="47" spans="2:8" x14ac:dyDescent="0.3">
      <c r="B47" s="11" t="s">
        <v>165</v>
      </c>
      <c r="C47" s="11"/>
      <c r="D47" s="11"/>
      <c r="E47" s="11"/>
    </row>
  </sheetData>
  <mergeCells count="7">
    <mergeCell ref="B46:E46"/>
    <mergeCell ref="B47:E47"/>
    <mergeCell ref="B16:J19"/>
    <mergeCell ref="H26:L30"/>
    <mergeCell ref="B4:J9"/>
    <mergeCell ref="B11:J14"/>
    <mergeCell ref="B44:D4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551DB-6E07-48EA-8E23-7C0A30185E73}">
  <sheetPr codeName="Sheet5"/>
  <dimension ref="A1:S79"/>
  <sheetViews>
    <sheetView workbookViewId="0">
      <selection activeCell="U13" sqref="U13"/>
    </sheetView>
  </sheetViews>
  <sheetFormatPr defaultRowHeight="14.4" x14ac:dyDescent="0.3"/>
  <cols>
    <col min="1" max="1" width="28.33203125" bestFit="1" customWidth="1"/>
    <col min="2" max="2" width="13.6640625" bestFit="1" customWidth="1"/>
    <col min="3" max="3" width="11.44140625" bestFit="1" customWidth="1"/>
    <col min="4" max="4" width="12" bestFit="1" customWidth="1"/>
    <col min="5" max="5" width="9.6640625" bestFit="1" customWidth="1"/>
    <col min="6" max="6" width="11.6640625" bestFit="1" customWidth="1"/>
    <col min="7" max="10" width="12.6640625" bestFit="1" customWidth="1"/>
    <col min="11" max="11" width="11" bestFit="1" customWidth="1"/>
    <col min="12" max="14" width="10.6640625" bestFit="1" customWidth="1"/>
    <col min="15" max="15" width="10" bestFit="1" customWidth="1"/>
    <col min="16" max="17" width="9.6640625" bestFit="1" customWidth="1"/>
    <col min="18" max="19" width="10" bestFit="1" customWidth="1"/>
  </cols>
  <sheetData>
    <row r="1" spans="1:19" x14ac:dyDescent="0.3">
      <c r="A1" t="s">
        <v>16</v>
      </c>
      <c r="B1" t="s">
        <v>17</v>
      </c>
      <c r="C1" t="s">
        <v>18</v>
      </c>
      <c r="D1" t="s">
        <v>19</v>
      </c>
      <c r="E1" t="s">
        <v>20</v>
      </c>
      <c r="F1" t="s">
        <v>35</v>
      </c>
      <c r="G1" t="s">
        <v>7</v>
      </c>
      <c r="H1" t="s">
        <v>8</v>
      </c>
      <c r="I1" t="s">
        <v>9</v>
      </c>
      <c r="J1" t="s">
        <v>10</v>
      </c>
      <c r="K1" t="s">
        <v>11</v>
      </c>
      <c r="L1" t="s">
        <v>12</v>
      </c>
      <c r="M1" t="s">
        <v>13</v>
      </c>
      <c r="N1" t="s">
        <v>14</v>
      </c>
      <c r="O1" t="s">
        <v>15</v>
      </c>
      <c r="P1" t="s">
        <v>108</v>
      </c>
      <c r="Q1" t="s">
        <v>109</v>
      </c>
      <c r="R1" t="s">
        <v>110</v>
      </c>
      <c r="S1" t="s">
        <v>111</v>
      </c>
    </row>
    <row r="2" spans="1:19" x14ac:dyDescent="0.3">
      <c r="A2" t="s">
        <v>36</v>
      </c>
      <c r="B2" t="s">
        <v>101</v>
      </c>
      <c r="C2">
        <v>0.26400000000000001</v>
      </c>
      <c r="D2">
        <v>1.0609999999999999</v>
      </c>
      <c r="E2" t="s">
        <v>112</v>
      </c>
      <c r="F2">
        <v>0</v>
      </c>
      <c r="G2">
        <v>-2.2200500000000001</v>
      </c>
      <c r="H2">
        <v>2.0771899999999999</v>
      </c>
      <c r="I2">
        <v>29.253599999999999</v>
      </c>
      <c r="J2">
        <v>-18.510400000000001</v>
      </c>
      <c r="K2">
        <v>0</v>
      </c>
      <c r="L2">
        <v>0</v>
      </c>
      <c r="M2">
        <v>0</v>
      </c>
      <c r="N2">
        <v>0</v>
      </c>
      <c r="O2">
        <v>0</v>
      </c>
      <c r="P2">
        <v>0</v>
      </c>
      <c r="Q2">
        <v>0</v>
      </c>
      <c r="R2">
        <v>0</v>
      </c>
      <c r="S2">
        <v>0</v>
      </c>
    </row>
    <row r="3" spans="1:19" x14ac:dyDescent="0.3">
      <c r="A3" t="s">
        <v>38</v>
      </c>
      <c r="B3" t="s">
        <v>39</v>
      </c>
      <c r="C3">
        <v>4</v>
      </c>
      <c r="D3">
        <v>300</v>
      </c>
      <c r="E3" t="s">
        <v>113</v>
      </c>
      <c r="F3">
        <v>0</v>
      </c>
      <c r="G3">
        <v>0.63736000000000004</v>
      </c>
      <c r="H3">
        <v>-1.1436999999999999</v>
      </c>
      <c r="I3">
        <v>7.4623999999999997</v>
      </c>
      <c r="J3">
        <v>-12.6905</v>
      </c>
      <c r="K3">
        <v>11.916499999999999</v>
      </c>
      <c r="L3">
        <v>-6.1872100000000003</v>
      </c>
      <c r="M3">
        <v>1.6393899999999999</v>
      </c>
      <c r="N3">
        <v>-0.17266699999999999</v>
      </c>
      <c r="O3">
        <v>0</v>
      </c>
      <c r="P3">
        <v>0</v>
      </c>
      <c r="Q3">
        <v>0</v>
      </c>
      <c r="R3">
        <v>0</v>
      </c>
      <c r="S3">
        <v>0</v>
      </c>
    </row>
    <row r="4" spans="1:19" x14ac:dyDescent="0.3">
      <c r="A4" t="s">
        <v>40</v>
      </c>
      <c r="B4" t="s">
        <v>39</v>
      </c>
      <c r="C4">
        <v>4</v>
      </c>
      <c r="D4">
        <v>300</v>
      </c>
      <c r="E4" t="s">
        <v>114</v>
      </c>
      <c r="F4">
        <v>0</v>
      </c>
      <c r="G4">
        <v>-0.90932999999999997</v>
      </c>
      <c r="H4">
        <v>5.7510000000000003</v>
      </c>
      <c r="I4">
        <v>-11.112</v>
      </c>
      <c r="J4">
        <v>13.612</v>
      </c>
      <c r="K4">
        <v>-9.3977000000000004</v>
      </c>
      <c r="L4">
        <v>3.6873</v>
      </c>
      <c r="M4">
        <v>-0.77295000000000003</v>
      </c>
      <c r="N4">
        <v>6.7335999999999993E-2</v>
      </c>
      <c r="O4">
        <v>0</v>
      </c>
      <c r="P4">
        <v>0</v>
      </c>
      <c r="Q4">
        <v>0</v>
      </c>
      <c r="R4">
        <v>0</v>
      </c>
      <c r="S4">
        <v>0</v>
      </c>
    </row>
    <row r="5" spans="1:19" x14ac:dyDescent="0.3">
      <c r="A5" t="s">
        <v>41</v>
      </c>
      <c r="B5" t="s">
        <v>39</v>
      </c>
      <c r="C5">
        <v>4</v>
      </c>
      <c r="D5">
        <v>300</v>
      </c>
      <c r="E5" t="s">
        <v>115</v>
      </c>
      <c r="F5">
        <v>0</v>
      </c>
      <c r="G5">
        <v>7.918E-2</v>
      </c>
      <c r="H5">
        <v>1.0956999999999999</v>
      </c>
      <c r="I5">
        <v>-7.2770000000000001E-2</v>
      </c>
      <c r="J5">
        <v>8.0839999999999995E-2</v>
      </c>
      <c r="K5">
        <v>2.8029999999999999E-2</v>
      </c>
      <c r="L5">
        <v>-9.4640000000000002E-2</v>
      </c>
      <c r="M5">
        <v>4.1790000000000001E-2</v>
      </c>
      <c r="N5">
        <v>-5.7099999999999998E-3</v>
      </c>
      <c r="O5">
        <v>0</v>
      </c>
      <c r="P5">
        <v>0</v>
      </c>
      <c r="Q5">
        <v>0</v>
      </c>
      <c r="R5">
        <v>0</v>
      </c>
      <c r="S5">
        <v>0</v>
      </c>
    </row>
    <row r="6" spans="1:19" x14ac:dyDescent="0.3">
      <c r="A6" t="s">
        <v>42</v>
      </c>
      <c r="B6" t="s">
        <v>39</v>
      </c>
      <c r="C6">
        <v>4</v>
      </c>
      <c r="D6">
        <v>296</v>
      </c>
      <c r="E6" t="s">
        <v>113</v>
      </c>
      <c r="F6">
        <v>0</v>
      </c>
      <c r="G6">
        <v>22.401399999999999</v>
      </c>
      <c r="H6">
        <v>-141.13399999999999</v>
      </c>
      <c r="I6">
        <v>394.95499999999998</v>
      </c>
      <c r="J6">
        <v>-601.154</v>
      </c>
      <c r="K6">
        <v>547.83199999999999</v>
      </c>
      <c r="L6">
        <v>-305.99700000000001</v>
      </c>
      <c r="M6">
        <v>102.387</v>
      </c>
      <c r="N6">
        <v>-18.810199999999998</v>
      </c>
      <c r="O6">
        <v>1.4576899999999999</v>
      </c>
      <c r="P6">
        <v>0</v>
      </c>
      <c r="Q6">
        <v>0</v>
      </c>
      <c r="R6">
        <v>0</v>
      </c>
      <c r="S6">
        <v>0</v>
      </c>
    </row>
    <row r="7" spans="1:19" x14ac:dyDescent="0.3">
      <c r="A7" t="s">
        <v>43</v>
      </c>
      <c r="B7" t="s">
        <v>39</v>
      </c>
      <c r="C7">
        <v>2</v>
      </c>
      <c r="D7">
        <v>80</v>
      </c>
      <c r="E7" t="s">
        <v>113</v>
      </c>
      <c r="F7">
        <v>0</v>
      </c>
      <c r="G7">
        <v>-0.50014999999999998</v>
      </c>
      <c r="H7">
        <v>1.9319</v>
      </c>
      <c r="I7">
        <v>-1.6954</v>
      </c>
      <c r="J7">
        <v>0.71218000000000004</v>
      </c>
      <c r="K7">
        <v>1.2787999999999999</v>
      </c>
      <c r="L7">
        <v>-1.6145</v>
      </c>
      <c r="M7">
        <v>0.68722000000000005</v>
      </c>
      <c r="N7">
        <v>-0.10501000000000001</v>
      </c>
      <c r="O7">
        <v>0</v>
      </c>
      <c r="P7">
        <v>0</v>
      </c>
      <c r="Q7">
        <v>0</v>
      </c>
      <c r="R7">
        <v>0</v>
      </c>
      <c r="S7">
        <v>0</v>
      </c>
    </row>
    <row r="8" spans="1:19" x14ac:dyDescent="0.3">
      <c r="A8" t="s">
        <v>21</v>
      </c>
      <c r="B8" t="s">
        <v>39</v>
      </c>
      <c r="C8">
        <v>5</v>
      </c>
      <c r="D8">
        <v>116</v>
      </c>
      <c r="E8" t="s">
        <v>116</v>
      </c>
      <c r="F8">
        <v>0</v>
      </c>
      <c r="G8">
        <v>2.1035000000000002E-2</v>
      </c>
      <c r="H8">
        <v>-1.0183500000000001</v>
      </c>
      <c r="I8">
        <v>4.5408299999999997</v>
      </c>
      <c r="J8">
        <v>-5.0337399999999999</v>
      </c>
      <c r="K8">
        <v>3.2053600000000002</v>
      </c>
      <c r="L8">
        <v>-1.1293299999999999</v>
      </c>
      <c r="M8">
        <v>0.17405699999999999</v>
      </c>
      <c r="N8">
        <v>-3.8151000000000001E-3</v>
      </c>
      <c r="O8">
        <v>0</v>
      </c>
      <c r="P8">
        <v>0</v>
      </c>
      <c r="Q8">
        <v>0</v>
      </c>
      <c r="R8">
        <v>0</v>
      </c>
      <c r="S8">
        <v>0</v>
      </c>
    </row>
    <row r="9" spans="1:19" x14ac:dyDescent="0.3">
      <c r="A9" t="s">
        <v>22</v>
      </c>
      <c r="B9" t="s">
        <v>101</v>
      </c>
      <c r="C9">
        <v>0.13400000000000001</v>
      </c>
      <c r="D9">
        <v>4.8419999999999996</v>
      </c>
      <c r="E9" t="s">
        <v>117</v>
      </c>
      <c r="F9">
        <v>0</v>
      </c>
      <c r="G9">
        <v>3.9966899999999998E-3</v>
      </c>
      <c r="H9">
        <v>5.2094200000000002E-3</v>
      </c>
      <c r="I9">
        <v>-2.17074E-3</v>
      </c>
      <c r="J9">
        <v>2.4980899999999998E-4</v>
      </c>
      <c r="K9">
        <v>0</v>
      </c>
      <c r="L9">
        <v>0</v>
      </c>
      <c r="M9">
        <v>0</v>
      </c>
      <c r="N9">
        <v>0</v>
      </c>
      <c r="O9">
        <v>0</v>
      </c>
      <c r="P9">
        <v>0</v>
      </c>
      <c r="Q9">
        <v>0</v>
      </c>
      <c r="R9">
        <v>0</v>
      </c>
      <c r="S9">
        <v>0</v>
      </c>
    </row>
    <row r="10" spans="1:19" x14ac:dyDescent="0.3">
      <c r="A10" t="s">
        <v>44</v>
      </c>
      <c r="B10" t="s">
        <v>101</v>
      </c>
      <c r="C10">
        <v>0.13400000000000001</v>
      </c>
      <c r="D10">
        <v>4.8419999999999996</v>
      </c>
      <c r="E10" t="s">
        <v>118</v>
      </c>
      <c r="F10">
        <v>0</v>
      </c>
      <c r="G10">
        <v>3.3388900000000002E-3</v>
      </c>
      <c r="H10">
        <v>6.8985899999999996E-3</v>
      </c>
      <c r="I10">
        <v>-2.5481000000000002E-3</v>
      </c>
      <c r="J10">
        <v>2.6481900000000001E-4</v>
      </c>
      <c r="K10">
        <v>0</v>
      </c>
      <c r="L10">
        <v>0</v>
      </c>
      <c r="M10">
        <v>0</v>
      </c>
      <c r="N10">
        <v>0</v>
      </c>
      <c r="O10">
        <v>0</v>
      </c>
      <c r="P10">
        <v>0</v>
      </c>
      <c r="Q10">
        <v>0</v>
      </c>
      <c r="R10">
        <v>0</v>
      </c>
      <c r="S10">
        <v>0</v>
      </c>
    </row>
    <row r="11" spans="1:19" x14ac:dyDescent="0.3">
      <c r="A11" t="s">
        <v>45</v>
      </c>
      <c r="B11" t="s">
        <v>101</v>
      </c>
      <c r="C11">
        <v>0.69799999999999995</v>
      </c>
      <c r="D11">
        <v>4.0199999999999996</v>
      </c>
      <c r="E11" t="s">
        <v>119</v>
      </c>
      <c r="F11">
        <v>0</v>
      </c>
      <c r="G11">
        <v>1.05799E-3</v>
      </c>
      <c r="H11">
        <v>4.3668500000000002E-3</v>
      </c>
      <c r="I11">
        <v>-1.2680899999999999E-3</v>
      </c>
      <c r="J11">
        <v>9.2640999999999996E-5</v>
      </c>
      <c r="K11">
        <v>0</v>
      </c>
      <c r="L11">
        <v>0</v>
      </c>
      <c r="M11">
        <v>0</v>
      </c>
      <c r="N11">
        <v>0</v>
      </c>
      <c r="O11">
        <v>0</v>
      </c>
      <c r="P11">
        <v>0</v>
      </c>
      <c r="Q11">
        <v>0</v>
      </c>
      <c r="R11">
        <v>0</v>
      </c>
      <c r="S11">
        <v>0</v>
      </c>
    </row>
    <row r="12" spans="1:19" x14ac:dyDescent="0.3">
      <c r="A12" t="s">
        <v>46</v>
      </c>
      <c r="B12" t="s">
        <v>101</v>
      </c>
      <c r="C12">
        <v>0.309</v>
      </c>
      <c r="D12">
        <v>4.0149999999999997</v>
      </c>
      <c r="E12" t="s">
        <v>120</v>
      </c>
      <c r="F12">
        <v>0</v>
      </c>
      <c r="G12">
        <v>2.98036E-3</v>
      </c>
      <c r="H12">
        <v>9.7279399999999992E-3</v>
      </c>
      <c r="I12">
        <v>-4.47993E-3</v>
      </c>
      <c r="J12">
        <v>5.7121400000000001E-4</v>
      </c>
      <c r="K12">
        <v>0</v>
      </c>
      <c r="L12">
        <v>0</v>
      </c>
      <c r="M12">
        <v>0</v>
      </c>
      <c r="N12">
        <v>0</v>
      </c>
      <c r="O12">
        <v>0</v>
      </c>
      <c r="P12">
        <v>0</v>
      </c>
      <c r="Q12">
        <v>0</v>
      </c>
      <c r="R12">
        <v>0</v>
      </c>
      <c r="S12">
        <v>0</v>
      </c>
    </row>
    <row r="13" spans="1:19" x14ac:dyDescent="0.3">
      <c r="A13" t="s">
        <v>121</v>
      </c>
      <c r="B13" t="s">
        <v>101</v>
      </c>
      <c r="C13">
        <v>3.03</v>
      </c>
      <c r="D13">
        <v>96.8</v>
      </c>
      <c r="E13" t="s">
        <v>122</v>
      </c>
      <c r="F13">
        <v>9.9890999999999994E-2</v>
      </c>
      <c r="G13">
        <v>2.8245599999999999E-2</v>
      </c>
      <c r="H13">
        <v>-6.3319099999999996E-4</v>
      </c>
      <c r="I13">
        <v>3.6319899999999998E-6</v>
      </c>
      <c r="J13">
        <v>0</v>
      </c>
      <c r="K13">
        <v>0</v>
      </c>
      <c r="L13">
        <v>0</v>
      </c>
      <c r="M13">
        <v>0</v>
      </c>
      <c r="N13">
        <v>0</v>
      </c>
      <c r="O13">
        <v>0</v>
      </c>
      <c r="P13">
        <v>0</v>
      </c>
      <c r="Q13">
        <v>0</v>
      </c>
      <c r="R13">
        <v>0</v>
      </c>
      <c r="S13">
        <v>0</v>
      </c>
    </row>
    <row r="14" spans="1:19" x14ac:dyDescent="0.3">
      <c r="A14" t="s">
        <v>123</v>
      </c>
      <c r="B14" t="s">
        <v>39</v>
      </c>
      <c r="C14">
        <v>298</v>
      </c>
      <c r="D14">
        <v>1070</v>
      </c>
      <c r="E14" t="s">
        <v>124</v>
      </c>
      <c r="F14">
        <v>10.9377</v>
      </c>
      <c r="G14">
        <v>0</v>
      </c>
      <c r="H14">
        <v>0</v>
      </c>
      <c r="I14">
        <v>0</v>
      </c>
      <c r="J14">
        <v>0</v>
      </c>
      <c r="K14">
        <v>0</v>
      </c>
      <c r="L14">
        <v>0</v>
      </c>
      <c r="M14">
        <v>0</v>
      </c>
      <c r="N14">
        <v>0</v>
      </c>
      <c r="O14">
        <v>0</v>
      </c>
      <c r="P14">
        <v>-12.6435</v>
      </c>
      <c r="Q14">
        <v>5.2809400000000002</v>
      </c>
      <c r="R14">
        <v>-0.69499100000000003</v>
      </c>
      <c r="S14">
        <v>0</v>
      </c>
    </row>
    <row r="15" spans="1:19" x14ac:dyDescent="0.3">
      <c r="A15" t="s">
        <v>125</v>
      </c>
      <c r="B15" t="s">
        <v>39</v>
      </c>
      <c r="C15">
        <v>0</v>
      </c>
      <c r="D15">
        <v>325</v>
      </c>
      <c r="E15" t="s">
        <v>126</v>
      </c>
      <c r="F15">
        <v>-1</v>
      </c>
      <c r="G15">
        <v>0</v>
      </c>
      <c r="H15">
        <v>0</v>
      </c>
      <c r="I15">
        <v>0</v>
      </c>
      <c r="J15">
        <v>0</v>
      </c>
      <c r="K15">
        <v>0</v>
      </c>
      <c r="L15">
        <v>0</v>
      </c>
      <c r="M15">
        <v>0</v>
      </c>
      <c r="N15">
        <v>0</v>
      </c>
      <c r="O15">
        <v>0</v>
      </c>
      <c r="P15">
        <v>0</v>
      </c>
      <c r="Q15">
        <v>-620.52099999999996</v>
      </c>
      <c r="R15">
        <v>859.33799999999997</v>
      </c>
      <c r="S15">
        <v>-396.77</v>
      </c>
    </row>
    <row r="16" spans="1:19" x14ac:dyDescent="0.3">
      <c r="A16" t="s">
        <v>47</v>
      </c>
      <c r="B16" t="s">
        <v>48</v>
      </c>
      <c r="C16">
        <v>4</v>
      </c>
      <c r="D16">
        <v>300</v>
      </c>
      <c r="E16" t="s">
        <v>114</v>
      </c>
      <c r="F16">
        <v>0</v>
      </c>
      <c r="G16">
        <v>2.2153999999999998</v>
      </c>
      <c r="H16">
        <v>-0.47460999999999998</v>
      </c>
      <c r="I16">
        <v>-0.88068000000000002</v>
      </c>
      <c r="J16">
        <v>0.13871</v>
      </c>
      <c r="K16">
        <v>0.29504999999999998</v>
      </c>
      <c r="L16">
        <v>-2.043E-2</v>
      </c>
      <c r="M16">
        <v>-4.8309999999999999E-2</v>
      </c>
      <c r="N16">
        <v>1.281E-3</v>
      </c>
      <c r="O16">
        <v>3.2070000000000002E-3</v>
      </c>
      <c r="P16">
        <v>0</v>
      </c>
      <c r="Q16">
        <v>0</v>
      </c>
      <c r="R16">
        <v>0</v>
      </c>
      <c r="S16">
        <v>0</v>
      </c>
    </row>
    <row r="17" spans="1:19" x14ac:dyDescent="0.3">
      <c r="A17" t="s">
        <v>49</v>
      </c>
      <c r="B17" t="s">
        <v>48</v>
      </c>
      <c r="C17">
        <v>4</v>
      </c>
      <c r="D17">
        <v>300</v>
      </c>
      <c r="E17" t="s">
        <v>113</v>
      </c>
      <c r="F17">
        <v>0</v>
      </c>
      <c r="G17">
        <v>2.3797000000000001</v>
      </c>
      <c r="H17">
        <v>-0.49180000000000001</v>
      </c>
      <c r="I17">
        <v>-0.98614999999999997</v>
      </c>
      <c r="J17">
        <v>0.13941999999999999</v>
      </c>
      <c r="K17">
        <v>0.30475000000000002</v>
      </c>
      <c r="L17">
        <v>-1.9713000000000001E-2</v>
      </c>
      <c r="M17">
        <v>-4.6897000000000001E-2</v>
      </c>
      <c r="N17">
        <v>1.1969000000000001E-3</v>
      </c>
      <c r="O17">
        <v>2.9987999999999998E-3</v>
      </c>
      <c r="P17">
        <v>0</v>
      </c>
      <c r="Q17">
        <v>0</v>
      </c>
      <c r="R17">
        <v>0</v>
      </c>
      <c r="S17">
        <v>0</v>
      </c>
    </row>
    <row r="18" spans="1:19" x14ac:dyDescent="0.3">
      <c r="A18" t="s">
        <v>50</v>
      </c>
      <c r="B18" t="s">
        <v>48</v>
      </c>
      <c r="C18">
        <v>4</v>
      </c>
      <c r="D18">
        <v>300</v>
      </c>
      <c r="E18" t="s">
        <v>114</v>
      </c>
      <c r="F18">
        <v>0</v>
      </c>
      <c r="G18">
        <v>1.357</v>
      </c>
      <c r="H18">
        <v>0.39810000000000001</v>
      </c>
      <c r="I18">
        <v>2.669</v>
      </c>
      <c r="J18">
        <v>-0.1346</v>
      </c>
      <c r="K18">
        <v>-0.66830000000000001</v>
      </c>
      <c r="L18">
        <v>1.342E-2</v>
      </c>
      <c r="M18">
        <v>5.7729999999999997E-2</v>
      </c>
      <c r="N18">
        <v>2.1469999999999999E-4</v>
      </c>
      <c r="O18">
        <v>0</v>
      </c>
      <c r="P18">
        <v>0</v>
      </c>
      <c r="Q18">
        <v>0</v>
      </c>
      <c r="R18">
        <v>0</v>
      </c>
      <c r="S18">
        <v>0</v>
      </c>
    </row>
    <row r="19" spans="1:19" x14ac:dyDescent="0.3">
      <c r="A19" t="s">
        <v>51</v>
      </c>
      <c r="B19" t="s">
        <v>48</v>
      </c>
      <c r="C19">
        <v>4</v>
      </c>
      <c r="D19">
        <v>300</v>
      </c>
      <c r="E19" t="s">
        <v>113</v>
      </c>
      <c r="F19">
        <v>0</v>
      </c>
      <c r="G19">
        <v>1.8743000000000001</v>
      </c>
      <c r="H19">
        <v>-0.41538000000000003</v>
      </c>
      <c r="I19">
        <v>-0.6018</v>
      </c>
      <c r="J19">
        <v>0.13294</v>
      </c>
      <c r="K19">
        <v>0.26425999999999999</v>
      </c>
      <c r="L19">
        <v>-2.1899999999999999E-2</v>
      </c>
      <c r="M19">
        <v>-5.1276000000000002E-2</v>
      </c>
      <c r="N19">
        <v>1.4871000000000001E-3</v>
      </c>
      <c r="O19">
        <v>3.7230000000000002E-3</v>
      </c>
      <c r="P19">
        <v>0</v>
      </c>
      <c r="Q19">
        <v>0</v>
      </c>
      <c r="R19">
        <v>0</v>
      </c>
      <c r="S19">
        <v>0</v>
      </c>
    </row>
    <row r="20" spans="1:19" x14ac:dyDescent="0.3">
      <c r="A20" t="s">
        <v>52</v>
      </c>
      <c r="B20" t="s">
        <v>48</v>
      </c>
      <c r="C20">
        <v>4</v>
      </c>
      <c r="D20">
        <v>300</v>
      </c>
      <c r="E20" t="s">
        <v>113</v>
      </c>
      <c r="F20">
        <v>0</v>
      </c>
      <c r="G20">
        <v>2.8075000000000001</v>
      </c>
      <c r="H20">
        <v>-0.54074</v>
      </c>
      <c r="I20">
        <v>-1.2777000000000001</v>
      </c>
      <c r="J20">
        <v>0.15362000000000001</v>
      </c>
      <c r="K20">
        <v>0.36443999999999999</v>
      </c>
      <c r="L20">
        <v>-2.1049999999999999E-2</v>
      </c>
      <c r="M20">
        <v>-5.1727000000000002E-2</v>
      </c>
      <c r="N20">
        <v>1.2225999999999999E-3</v>
      </c>
      <c r="O20">
        <v>3.0964E-3</v>
      </c>
      <c r="P20">
        <v>0</v>
      </c>
      <c r="Q20">
        <v>0</v>
      </c>
      <c r="R20">
        <v>0</v>
      </c>
      <c r="S20">
        <v>0</v>
      </c>
    </row>
    <row r="21" spans="1:19" x14ac:dyDescent="0.3">
      <c r="A21" t="s">
        <v>53</v>
      </c>
      <c r="B21" t="s">
        <v>39</v>
      </c>
      <c r="C21">
        <v>4</v>
      </c>
      <c r="D21">
        <v>300</v>
      </c>
      <c r="E21" t="s">
        <v>127</v>
      </c>
      <c r="F21">
        <v>0</v>
      </c>
      <c r="G21">
        <v>-4.1235999999999997</v>
      </c>
      <c r="H21">
        <v>13.788</v>
      </c>
      <c r="I21">
        <v>-26.068000000000001</v>
      </c>
      <c r="J21">
        <v>26.271999999999998</v>
      </c>
      <c r="K21">
        <v>-14.663</v>
      </c>
      <c r="L21">
        <v>4.4954000000000001</v>
      </c>
      <c r="M21">
        <v>-0.6905</v>
      </c>
      <c r="N21">
        <v>3.9699999999999999E-2</v>
      </c>
      <c r="O21">
        <v>0</v>
      </c>
      <c r="P21">
        <v>0</v>
      </c>
      <c r="Q21">
        <v>0</v>
      </c>
      <c r="R21">
        <v>0</v>
      </c>
      <c r="S21">
        <v>0</v>
      </c>
    </row>
    <row r="22" spans="1:19" x14ac:dyDescent="0.3">
      <c r="A22" t="s">
        <v>54</v>
      </c>
      <c r="B22" t="s">
        <v>39</v>
      </c>
      <c r="C22">
        <v>4</v>
      </c>
      <c r="D22">
        <v>300</v>
      </c>
      <c r="E22" t="s">
        <v>127</v>
      </c>
      <c r="F22">
        <v>0</v>
      </c>
      <c r="G22">
        <v>-2.6482700000000001</v>
      </c>
      <c r="H22">
        <v>8.8022799999999997</v>
      </c>
      <c r="I22">
        <v>-24.899799999999999</v>
      </c>
      <c r="J22">
        <v>41.162500000000001</v>
      </c>
      <c r="K22">
        <v>-39.875399999999999</v>
      </c>
      <c r="L22">
        <v>23.177800000000001</v>
      </c>
      <c r="M22">
        <v>-7.9563499999999996</v>
      </c>
      <c r="N22">
        <v>1.4880599999999999</v>
      </c>
      <c r="O22">
        <v>-0.11701</v>
      </c>
      <c r="P22">
        <v>0</v>
      </c>
      <c r="Q22">
        <v>0</v>
      </c>
      <c r="R22">
        <v>0</v>
      </c>
      <c r="S22">
        <v>0</v>
      </c>
    </row>
    <row r="23" spans="1:19" x14ac:dyDescent="0.3">
      <c r="A23" t="s">
        <v>55</v>
      </c>
      <c r="B23" t="s">
        <v>101</v>
      </c>
      <c r="C23">
        <v>0.30399999999999999</v>
      </c>
      <c r="D23">
        <v>2.9710000000000001</v>
      </c>
      <c r="E23" t="s">
        <v>128</v>
      </c>
      <c r="F23">
        <v>0</v>
      </c>
      <c r="G23">
        <v>-2.5545899999999998E-3</v>
      </c>
      <c r="H23">
        <v>1.9429800000000001E-2</v>
      </c>
      <c r="I23">
        <v>-7.6321100000000001E-3</v>
      </c>
      <c r="J23">
        <v>1.0902500000000001E-3</v>
      </c>
      <c r="K23">
        <v>0</v>
      </c>
      <c r="L23">
        <v>0</v>
      </c>
      <c r="M23">
        <v>0</v>
      </c>
      <c r="N23">
        <v>0</v>
      </c>
      <c r="O23">
        <v>0</v>
      </c>
      <c r="P23">
        <v>0</v>
      </c>
      <c r="Q23">
        <v>0</v>
      </c>
      <c r="R23">
        <v>0</v>
      </c>
      <c r="S23">
        <v>0</v>
      </c>
    </row>
    <row r="24" spans="1:19" x14ac:dyDescent="0.3">
      <c r="A24" t="s">
        <v>56</v>
      </c>
      <c r="B24" t="s">
        <v>39</v>
      </c>
      <c r="C24">
        <v>38</v>
      </c>
      <c r="D24">
        <v>300</v>
      </c>
      <c r="E24" t="s">
        <v>114</v>
      </c>
      <c r="F24">
        <v>0</v>
      </c>
      <c r="G24">
        <v>689.53200000000004</v>
      </c>
      <c r="H24">
        <v>-2543.63</v>
      </c>
      <c r="I24">
        <v>3967.07</v>
      </c>
      <c r="J24">
        <v>-3400.37</v>
      </c>
      <c r="K24">
        <v>1731.72</v>
      </c>
      <c r="L24">
        <v>-524.30899999999997</v>
      </c>
      <c r="M24">
        <v>87.424899999999994</v>
      </c>
      <c r="N24">
        <v>-6.19597</v>
      </c>
      <c r="O24">
        <v>0</v>
      </c>
      <c r="P24">
        <v>0</v>
      </c>
      <c r="Q24">
        <v>0</v>
      </c>
      <c r="R24">
        <v>0</v>
      </c>
      <c r="S24">
        <v>0</v>
      </c>
    </row>
    <row r="25" spans="1:19" x14ac:dyDescent="0.3">
      <c r="A25" t="s">
        <v>57</v>
      </c>
      <c r="B25" t="s">
        <v>39</v>
      </c>
      <c r="C25">
        <v>84</v>
      </c>
      <c r="D25">
        <v>300</v>
      </c>
      <c r="E25" t="s">
        <v>113</v>
      </c>
      <c r="F25">
        <v>0</v>
      </c>
      <c r="G25">
        <v>2909.91</v>
      </c>
      <c r="H25">
        <v>-8616.64</v>
      </c>
      <c r="I25">
        <v>10542.7</v>
      </c>
      <c r="J25">
        <v>-6832.07</v>
      </c>
      <c r="K25">
        <v>2475.33</v>
      </c>
      <c r="L25">
        <v>-475.7</v>
      </c>
      <c r="M25">
        <v>37.900300000000001</v>
      </c>
      <c r="N25">
        <v>0</v>
      </c>
      <c r="O25">
        <v>0</v>
      </c>
      <c r="P25">
        <v>0</v>
      </c>
      <c r="Q25">
        <v>0</v>
      </c>
      <c r="R25">
        <v>0</v>
      </c>
      <c r="S25">
        <v>0</v>
      </c>
    </row>
    <row r="26" spans="1:19" x14ac:dyDescent="0.3">
      <c r="A26" t="s">
        <v>58</v>
      </c>
      <c r="B26" t="s">
        <v>39</v>
      </c>
      <c r="C26">
        <v>80</v>
      </c>
      <c r="D26">
        <v>300</v>
      </c>
      <c r="E26" t="s">
        <v>114</v>
      </c>
      <c r="F26">
        <v>0</v>
      </c>
      <c r="G26">
        <v>-2141.58</v>
      </c>
      <c r="H26">
        <v>4639.74</v>
      </c>
      <c r="I26">
        <v>-3249.41</v>
      </c>
      <c r="J26">
        <v>51.724200000000003</v>
      </c>
      <c r="K26">
        <v>1101.98</v>
      </c>
      <c r="L26">
        <v>-613.85599999999999</v>
      </c>
      <c r="M26">
        <v>141.143</v>
      </c>
      <c r="N26">
        <v>-12.3133</v>
      </c>
      <c r="O26">
        <v>0</v>
      </c>
      <c r="P26">
        <v>0</v>
      </c>
      <c r="Q26">
        <v>0</v>
      </c>
      <c r="R26">
        <v>0</v>
      </c>
      <c r="S26">
        <v>0</v>
      </c>
    </row>
    <row r="27" spans="1:19" x14ac:dyDescent="0.3">
      <c r="A27" t="s">
        <v>59</v>
      </c>
      <c r="B27" t="s">
        <v>60</v>
      </c>
      <c r="C27">
        <v>0.15</v>
      </c>
      <c r="D27">
        <v>1</v>
      </c>
      <c r="E27" t="s">
        <v>24</v>
      </c>
      <c r="F27">
        <v>0</v>
      </c>
      <c r="G27">
        <v>300</v>
      </c>
      <c r="H27">
        <v>0.01</v>
      </c>
      <c r="I27">
        <v>1.76</v>
      </c>
      <c r="J27">
        <v>5.1000000000000004E-3</v>
      </c>
      <c r="K27">
        <v>0</v>
      </c>
      <c r="L27">
        <v>0</v>
      </c>
      <c r="M27">
        <v>0</v>
      </c>
      <c r="N27">
        <v>0</v>
      </c>
      <c r="O27">
        <v>0</v>
      </c>
      <c r="P27">
        <v>0</v>
      </c>
      <c r="Q27">
        <v>0</v>
      </c>
      <c r="R27">
        <v>0</v>
      </c>
      <c r="S27">
        <v>0</v>
      </c>
    </row>
    <row r="28" spans="1:19" x14ac:dyDescent="0.3">
      <c r="A28" t="s">
        <v>61</v>
      </c>
      <c r="B28" t="s">
        <v>39</v>
      </c>
      <c r="C28">
        <v>0.06</v>
      </c>
      <c r="D28">
        <v>4.22</v>
      </c>
      <c r="E28" t="s">
        <v>24</v>
      </c>
      <c r="F28">
        <v>0</v>
      </c>
      <c r="G28">
        <v>-2.6969799999999999</v>
      </c>
      <c r="H28">
        <v>1.57311</v>
      </c>
      <c r="I28">
        <v>0.61035099999999998</v>
      </c>
      <c r="J28">
        <v>0.246304</v>
      </c>
      <c r="K28">
        <v>-5.8483599999999997E-2</v>
      </c>
      <c r="L28">
        <v>-9.3729900000000005E-2</v>
      </c>
      <c r="M28">
        <v>-2.6652700000000001E-2</v>
      </c>
      <c r="N28">
        <v>0</v>
      </c>
      <c r="O28">
        <v>0</v>
      </c>
      <c r="P28">
        <v>0</v>
      </c>
      <c r="Q28">
        <v>0</v>
      </c>
      <c r="R28">
        <v>0</v>
      </c>
      <c r="S28">
        <v>0</v>
      </c>
    </row>
    <row r="29" spans="1:19" x14ac:dyDescent="0.3">
      <c r="A29" t="s">
        <v>62</v>
      </c>
      <c r="B29" t="s">
        <v>60</v>
      </c>
      <c r="C29">
        <v>0.1</v>
      </c>
      <c r="D29">
        <v>5</v>
      </c>
      <c r="E29" t="s">
        <v>24</v>
      </c>
      <c r="F29">
        <v>0</v>
      </c>
      <c r="G29">
        <v>5</v>
      </c>
      <c r="H29">
        <v>0.01</v>
      </c>
      <c r="I29">
        <v>1.2715000000000001</v>
      </c>
      <c r="J29">
        <v>7.4999999999999997E-3</v>
      </c>
      <c r="K29">
        <v>0</v>
      </c>
      <c r="L29">
        <v>0</v>
      </c>
      <c r="M29">
        <v>0</v>
      </c>
      <c r="N29">
        <v>0</v>
      </c>
      <c r="O29">
        <v>0</v>
      </c>
      <c r="P29">
        <v>0</v>
      </c>
      <c r="Q29">
        <v>0</v>
      </c>
      <c r="R29">
        <v>0</v>
      </c>
      <c r="S29">
        <v>0</v>
      </c>
    </row>
    <row r="30" spans="1:19" x14ac:dyDescent="0.3">
      <c r="A30" t="s">
        <v>63</v>
      </c>
      <c r="B30" t="s">
        <v>39</v>
      </c>
      <c r="C30">
        <v>0.06</v>
      </c>
      <c r="D30">
        <v>4.22</v>
      </c>
      <c r="E30" t="s">
        <v>24</v>
      </c>
      <c r="F30">
        <v>0</v>
      </c>
      <c r="G30">
        <v>-2.6955900000000002</v>
      </c>
      <c r="H30">
        <v>1.5765199999999999</v>
      </c>
      <c r="I30">
        <v>0.58112200000000003</v>
      </c>
      <c r="J30">
        <v>0.20872099999999999</v>
      </c>
      <c r="K30">
        <v>3.57325E-3</v>
      </c>
      <c r="L30">
        <v>0</v>
      </c>
      <c r="M30">
        <v>0</v>
      </c>
      <c r="N30">
        <v>0</v>
      </c>
      <c r="O30">
        <v>0</v>
      </c>
      <c r="P30">
        <v>0</v>
      </c>
      <c r="Q30">
        <v>0</v>
      </c>
      <c r="R30">
        <v>0</v>
      </c>
      <c r="S30">
        <v>0</v>
      </c>
    </row>
    <row r="31" spans="1:19" x14ac:dyDescent="0.3">
      <c r="A31" t="s">
        <v>64</v>
      </c>
      <c r="B31" t="s">
        <v>39</v>
      </c>
      <c r="C31">
        <v>6</v>
      </c>
      <c r="D31">
        <v>275</v>
      </c>
      <c r="E31" t="s">
        <v>113</v>
      </c>
      <c r="F31">
        <v>0</v>
      </c>
      <c r="G31">
        <v>-8.2892100000000006</v>
      </c>
      <c r="H31">
        <v>39.447000000000003</v>
      </c>
      <c r="I31">
        <v>-83.435299999999998</v>
      </c>
      <c r="J31">
        <v>98.168999999999997</v>
      </c>
      <c r="K31">
        <v>-67.208799999999997</v>
      </c>
      <c r="L31">
        <v>26.708200000000001</v>
      </c>
      <c r="M31">
        <v>-5.7205000000000004</v>
      </c>
      <c r="N31">
        <v>0.51114999999999999</v>
      </c>
      <c r="O31">
        <v>0</v>
      </c>
      <c r="P31">
        <v>0</v>
      </c>
      <c r="Q31">
        <v>0</v>
      </c>
      <c r="R31">
        <v>0</v>
      </c>
      <c r="S31">
        <v>0</v>
      </c>
    </row>
    <row r="32" spans="1:19" x14ac:dyDescent="0.3">
      <c r="A32" t="s">
        <v>65</v>
      </c>
      <c r="B32" t="s">
        <v>39</v>
      </c>
      <c r="C32">
        <v>4</v>
      </c>
      <c r="D32">
        <v>300</v>
      </c>
      <c r="E32" t="s">
        <v>113</v>
      </c>
      <c r="F32">
        <v>0</v>
      </c>
      <c r="G32">
        <v>-2.7063999999999999</v>
      </c>
      <c r="H32">
        <v>8.5190999999999999</v>
      </c>
      <c r="I32">
        <v>-15.923</v>
      </c>
      <c r="J32">
        <v>18.276</v>
      </c>
      <c r="K32">
        <v>-11.9116</v>
      </c>
      <c r="L32">
        <v>4.4031799999999999</v>
      </c>
      <c r="M32">
        <v>-0.86017999999999994</v>
      </c>
      <c r="N32">
        <v>6.8507999999999999E-2</v>
      </c>
      <c r="O32">
        <v>0</v>
      </c>
      <c r="P32">
        <v>0</v>
      </c>
      <c r="Q32">
        <v>0</v>
      </c>
      <c r="R32">
        <v>0</v>
      </c>
      <c r="S32">
        <v>0</v>
      </c>
    </row>
    <row r="33" spans="1:19" x14ac:dyDescent="0.3">
      <c r="A33" t="s">
        <v>66</v>
      </c>
      <c r="B33" t="s">
        <v>33</v>
      </c>
      <c r="C33">
        <v>0</v>
      </c>
      <c r="D33">
        <v>307</v>
      </c>
      <c r="E33" t="s">
        <v>129</v>
      </c>
      <c r="F33">
        <v>0.53600000000000003</v>
      </c>
      <c r="G33">
        <v>0</v>
      </c>
      <c r="H33">
        <v>0</v>
      </c>
      <c r="I33">
        <v>0</v>
      </c>
      <c r="J33">
        <v>0</v>
      </c>
      <c r="K33">
        <v>0</v>
      </c>
      <c r="L33">
        <v>0</v>
      </c>
      <c r="M33">
        <v>0</v>
      </c>
      <c r="N33">
        <v>0</v>
      </c>
      <c r="O33">
        <v>0</v>
      </c>
      <c r="P33">
        <v>0</v>
      </c>
      <c r="Q33">
        <v>-2.3821699999999999</v>
      </c>
      <c r="R33">
        <v>0.42834299999999997</v>
      </c>
      <c r="S33">
        <v>0.57257499999999995</v>
      </c>
    </row>
    <row r="34" spans="1:19" x14ac:dyDescent="0.3">
      <c r="A34" t="s">
        <v>130</v>
      </c>
      <c r="B34" t="s">
        <v>39</v>
      </c>
      <c r="C34">
        <v>4</v>
      </c>
      <c r="D34">
        <v>300</v>
      </c>
      <c r="E34" t="s">
        <v>24</v>
      </c>
      <c r="F34">
        <v>0</v>
      </c>
      <c r="G34">
        <v>5.7310100000000004</v>
      </c>
      <c r="H34">
        <v>-39.5199</v>
      </c>
      <c r="I34">
        <v>79.931299999999993</v>
      </c>
      <c r="J34">
        <v>-83.857200000000006</v>
      </c>
      <c r="K34">
        <v>50.915700000000001</v>
      </c>
      <c r="L34">
        <v>-17.983499999999999</v>
      </c>
      <c r="M34">
        <v>3.4241299999999999</v>
      </c>
      <c r="N34">
        <v>-0.27133000000000002</v>
      </c>
      <c r="O34">
        <v>0</v>
      </c>
      <c r="P34">
        <v>0</v>
      </c>
      <c r="Q34">
        <v>0</v>
      </c>
      <c r="R34">
        <v>0</v>
      </c>
      <c r="S34">
        <v>0</v>
      </c>
    </row>
    <row r="35" spans="1:19" x14ac:dyDescent="0.3">
      <c r="A35" t="s">
        <v>23</v>
      </c>
      <c r="B35" t="s">
        <v>101</v>
      </c>
      <c r="C35">
        <v>0.29799999999999999</v>
      </c>
      <c r="D35">
        <v>2.851</v>
      </c>
      <c r="E35" t="s">
        <v>131</v>
      </c>
      <c r="F35">
        <v>0</v>
      </c>
      <c r="G35">
        <v>-1.14537E-4</v>
      </c>
      <c r="H35">
        <v>8.6098600000000004E-3</v>
      </c>
      <c r="I35">
        <v>-5.8609700000000001E-3</v>
      </c>
      <c r="J35">
        <v>1.1403100000000001E-3</v>
      </c>
      <c r="K35">
        <v>0</v>
      </c>
      <c r="L35">
        <v>0</v>
      </c>
      <c r="M35">
        <v>0</v>
      </c>
      <c r="N35">
        <v>0</v>
      </c>
      <c r="O35">
        <v>0</v>
      </c>
      <c r="P35">
        <v>0</v>
      </c>
      <c r="Q35">
        <v>0</v>
      </c>
      <c r="R35">
        <v>0</v>
      </c>
      <c r="S35">
        <v>0</v>
      </c>
    </row>
    <row r="36" spans="1:19" x14ac:dyDescent="0.3">
      <c r="A36" t="s">
        <v>67</v>
      </c>
      <c r="B36" t="s">
        <v>68</v>
      </c>
      <c r="C36">
        <v>6</v>
      </c>
      <c r="D36">
        <v>302</v>
      </c>
      <c r="E36" t="s">
        <v>132</v>
      </c>
      <c r="F36">
        <v>0</v>
      </c>
      <c r="G36">
        <v>-2.65</v>
      </c>
      <c r="H36">
        <v>1.98664</v>
      </c>
      <c r="I36">
        <v>1.24851</v>
      </c>
      <c r="J36">
        <v>0.56999999999999995</v>
      </c>
      <c r="K36">
        <v>-8</v>
      </c>
      <c r="L36">
        <v>0.77785700000000002</v>
      </c>
      <c r="M36">
        <v>0</v>
      </c>
      <c r="N36">
        <v>0</v>
      </c>
      <c r="O36">
        <v>0</v>
      </c>
      <c r="P36">
        <v>0</v>
      </c>
      <c r="Q36">
        <v>0</v>
      </c>
      <c r="R36">
        <v>0</v>
      </c>
      <c r="S36">
        <v>0</v>
      </c>
    </row>
    <row r="37" spans="1:19" x14ac:dyDescent="0.3">
      <c r="A37" t="s">
        <v>69</v>
      </c>
      <c r="B37" t="s">
        <v>68</v>
      </c>
      <c r="C37">
        <v>0.1</v>
      </c>
      <c r="D37">
        <v>291</v>
      </c>
      <c r="E37" t="s">
        <v>133</v>
      </c>
      <c r="F37">
        <v>0</v>
      </c>
      <c r="G37">
        <v>-2.4218999999999999</v>
      </c>
      <c r="H37">
        <v>1.98664</v>
      </c>
      <c r="I37">
        <v>1.2574399999999999</v>
      </c>
      <c r="J37">
        <v>0.96120899999999998</v>
      </c>
      <c r="K37">
        <v>-9.6105999999999998</v>
      </c>
      <c r="L37">
        <v>0.77785700000000002</v>
      </c>
      <c r="M37">
        <v>0</v>
      </c>
      <c r="N37">
        <v>0</v>
      </c>
      <c r="O37">
        <v>0</v>
      </c>
      <c r="P37">
        <v>0</v>
      </c>
      <c r="Q37">
        <v>0</v>
      </c>
      <c r="R37">
        <v>0</v>
      </c>
      <c r="S37">
        <v>0</v>
      </c>
    </row>
    <row r="38" spans="1:19" x14ac:dyDescent="0.3">
      <c r="A38" t="s">
        <v>25</v>
      </c>
      <c r="B38" t="s">
        <v>39</v>
      </c>
      <c r="C38">
        <v>4</v>
      </c>
      <c r="D38">
        <v>296</v>
      </c>
      <c r="E38" t="s">
        <v>113</v>
      </c>
      <c r="F38">
        <v>0</v>
      </c>
      <c r="G38">
        <v>38.963500000000003</v>
      </c>
      <c r="H38">
        <v>-221.405</v>
      </c>
      <c r="I38">
        <v>597.56600000000003</v>
      </c>
      <c r="J38">
        <v>-900.93799999999999</v>
      </c>
      <c r="K38">
        <v>816.40499999999997</v>
      </c>
      <c r="L38">
        <v>-455.08300000000003</v>
      </c>
      <c r="M38">
        <v>152.94</v>
      </c>
      <c r="N38">
        <v>-28.4512</v>
      </c>
      <c r="O38">
        <v>2.25162</v>
      </c>
      <c r="P38">
        <v>0</v>
      </c>
      <c r="Q38">
        <v>0</v>
      </c>
      <c r="R38">
        <v>0</v>
      </c>
      <c r="S38">
        <v>0</v>
      </c>
    </row>
    <row r="39" spans="1:19" x14ac:dyDescent="0.3">
      <c r="A39" t="s">
        <v>26</v>
      </c>
      <c r="B39" t="s">
        <v>101</v>
      </c>
      <c r="C39">
        <v>0.33700000000000002</v>
      </c>
      <c r="D39">
        <v>3.2130000000000001</v>
      </c>
      <c r="E39" t="s">
        <v>134</v>
      </c>
      <c r="F39">
        <v>0</v>
      </c>
      <c r="G39">
        <v>-1.1962699999999999E-3</v>
      </c>
      <c r="H39">
        <v>4.6159299999999999E-3</v>
      </c>
      <c r="I39">
        <v>9.7055100000000005E-4</v>
      </c>
      <c r="J39">
        <v>-2.26171E-4</v>
      </c>
      <c r="K39">
        <v>0</v>
      </c>
      <c r="L39">
        <v>0</v>
      </c>
      <c r="M39">
        <v>0</v>
      </c>
      <c r="N39">
        <v>0</v>
      </c>
      <c r="O39">
        <v>0</v>
      </c>
      <c r="P39">
        <v>0</v>
      </c>
      <c r="Q39">
        <v>0</v>
      </c>
      <c r="R39">
        <v>0</v>
      </c>
      <c r="S39">
        <v>0</v>
      </c>
    </row>
    <row r="40" spans="1:19" x14ac:dyDescent="0.3">
      <c r="A40" t="s">
        <v>70</v>
      </c>
      <c r="B40" t="s">
        <v>33</v>
      </c>
      <c r="C40">
        <v>0.01</v>
      </c>
      <c r="D40">
        <v>1180</v>
      </c>
      <c r="E40" t="s">
        <v>135</v>
      </c>
      <c r="F40">
        <v>84.295299999999997</v>
      </c>
      <c r="G40">
        <v>6.0979400000000003E-2</v>
      </c>
      <c r="H40">
        <v>1.44929E-2</v>
      </c>
      <c r="I40">
        <v>-3.5686399999999998E-4</v>
      </c>
      <c r="J40">
        <v>2.3986000000000002E-6</v>
      </c>
      <c r="K40">
        <v>0</v>
      </c>
      <c r="L40">
        <v>0</v>
      </c>
      <c r="M40">
        <v>0</v>
      </c>
      <c r="N40">
        <v>0</v>
      </c>
      <c r="O40">
        <v>0</v>
      </c>
      <c r="P40">
        <v>-0.49365199999999998</v>
      </c>
      <c r="Q40">
        <v>1.91869</v>
      </c>
      <c r="R40">
        <v>-0.874471</v>
      </c>
      <c r="S40">
        <v>0.16119700000000001</v>
      </c>
    </row>
    <row r="41" spans="1:19" x14ac:dyDescent="0.3">
      <c r="A41" t="s">
        <v>27</v>
      </c>
      <c r="B41" t="s">
        <v>39</v>
      </c>
      <c r="C41">
        <v>2</v>
      </c>
      <c r="D41">
        <v>373</v>
      </c>
      <c r="E41" t="s">
        <v>136</v>
      </c>
      <c r="F41">
        <v>0</v>
      </c>
      <c r="G41">
        <v>10.7826</v>
      </c>
      <c r="H41">
        <v>-72.130700000000004</v>
      </c>
      <c r="I41">
        <v>228.57400000000001</v>
      </c>
      <c r="J41">
        <v>-384.50400000000002</v>
      </c>
      <c r="K41">
        <v>381.43799999999999</v>
      </c>
      <c r="L41">
        <v>-228.83799999999999</v>
      </c>
      <c r="M41">
        <v>81.266599999999997</v>
      </c>
      <c r="N41">
        <v>-15.691000000000001</v>
      </c>
      <c r="O41">
        <v>1.26814</v>
      </c>
      <c r="P41">
        <v>0</v>
      </c>
      <c r="Q41">
        <v>0</v>
      </c>
      <c r="R41">
        <v>0</v>
      </c>
      <c r="S41">
        <v>0</v>
      </c>
    </row>
    <row r="42" spans="1:19" x14ac:dyDescent="0.3">
      <c r="A42" t="s">
        <v>71</v>
      </c>
      <c r="B42" t="s">
        <v>39</v>
      </c>
      <c r="C42">
        <v>1</v>
      </c>
      <c r="D42">
        <v>83</v>
      </c>
      <c r="E42" t="s">
        <v>114</v>
      </c>
      <c r="F42">
        <v>0</v>
      </c>
      <c r="G42">
        <v>-1.37737</v>
      </c>
      <c r="H42">
        <v>-3.4066800000000002</v>
      </c>
      <c r="I42">
        <v>20.584199999999999</v>
      </c>
      <c r="J42">
        <v>-53.124400000000001</v>
      </c>
      <c r="K42">
        <v>73.247600000000006</v>
      </c>
      <c r="L42">
        <v>-57.654600000000002</v>
      </c>
      <c r="M42">
        <v>26.119199999999999</v>
      </c>
      <c r="N42">
        <v>-6.3479000000000001</v>
      </c>
      <c r="O42">
        <v>0.64033099999999998</v>
      </c>
      <c r="P42">
        <v>0</v>
      </c>
      <c r="Q42">
        <v>0</v>
      </c>
      <c r="R42">
        <v>0</v>
      </c>
      <c r="S42">
        <v>0</v>
      </c>
    </row>
    <row r="43" spans="1:19" x14ac:dyDescent="0.3">
      <c r="A43" t="s">
        <v>72</v>
      </c>
      <c r="B43" t="s">
        <v>39</v>
      </c>
      <c r="C43">
        <v>0.11600000000000001</v>
      </c>
      <c r="D43">
        <v>9.2319999999999993</v>
      </c>
      <c r="E43" t="s">
        <v>137</v>
      </c>
      <c r="F43">
        <v>-1</v>
      </c>
      <c r="G43">
        <v>0</v>
      </c>
      <c r="H43">
        <v>0</v>
      </c>
      <c r="I43">
        <v>0</v>
      </c>
      <c r="J43">
        <v>0</v>
      </c>
      <c r="K43">
        <v>0</v>
      </c>
      <c r="L43">
        <v>0</v>
      </c>
      <c r="M43">
        <v>0</v>
      </c>
      <c r="N43">
        <v>0</v>
      </c>
      <c r="O43">
        <v>0</v>
      </c>
      <c r="P43">
        <v>-2.31297</v>
      </c>
      <c r="Q43">
        <v>1.4872700000000001</v>
      </c>
      <c r="R43">
        <v>0.26238800000000001</v>
      </c>
      <c r="S43">
        <v>0.44439200000000001</v>
      </c>
    </row>
    <row r="44" spans="1:19" x14ac:dyDescent="0.3">
      <c r="A44" t="s">
        <v>73</v>
      </c>
      <c r="B44" t="s">
        <v>39</v>
      </c>
      <c r="C44">
        <v>4</v>
      </c>
      <c r="D44">
        <v>300</v>
      </c>
      <c r="E44" t="s">
        <v>24</v>
      </c>
      <c r="F44">
        <v>0</v>
      </c>
      <c r="G44">
        <v>-1.5054000000000001</v>
      </c>
      <c r="H44">
        <v>1.4031800000000001</v>
      </c>
      <c r="I44">
        <v>0.17197399999999999</v>
      </c>
      <c r="J44">
        <v>-0.12956400000000001</v>
      </c>
      <c r="K44">
        <v>0</v>
      </c>
      <c r="L44">
        <v>0</v>
      </c>
      <c r="M44">
        <v>0</v>
      </c>
      <c r="N44">
        <v>0</v>
      </c>
      <c r="O44">
        <v>0</v>
      </c>
      <c r="P44">
        <v>0</v>
      </c>
      <c r="Q44">
        <v>0</v>
      </c>
      <c r="R44">
        <v>0</v>
      </c>
      <c r="S44">
        <v>0</v>
      </c>
    </row>
    <row r="45" spans="1:19" x14ac:dyDescent="0.3">
      <c r="A45" t="s">
        <v>74</v>
      </c>
      <c r="B45" t="s">
        <v>39</v>
      </c>
      <c r="C45">
        <v>4</v>
      </c>
      <c r="D45">
        <v>300</v>
      </c>
      <c r="E45" t="s">
        <v>113</v>
      </c>
      <c r="F45">
        <v>0</v>
      </c>
      <c r="G45">
        <v>-3.5785</v>
      </c>
      <c r="H45">
        <v>20.803999999999998</v>
      </c>
      <c r="I45">
        <v>-55.826000000000001</v>
      </c>
      <c r="J45">
        <v>87.811999999999998</v>
      </c>
      <c r="K45">
        <v>-83.501599999999996</v>
      </c>
      <c r="L45">
        <v>49.08</v>
      </c>
      <c r="M45">
        <v>-17.434799999999999</v>
      </c>
      <c r="N45">
        <v>3.4277000000000002</v>
      </c>
      <c r="O45">
        <v>-0.28621999999999997</v>
      </c>
      <c r="P45">
        <v>0</v>
      </c>
      <c r="Q45">
        <v>0</v>
      </c>
      <c r="R45">
        <v>0</v>
      </c>
      <c r="S45">
        <v>0</v>
      </c>
    </row>
    <row r="46" spans="1:19" x14ac:dyDescent="0.3">
      <c r="A46" t="s">
        <v>75</v>
      </c>
      <c r="B46" t="s">
        <v>39</v>
      </c>
      <c r="C46">
        <v>4</v>
      </c>
      <c r="D46">
        <v>300</v>
      </c>
      <c r="E46" t="s">
        <v>113</v>
      </c>
      <c r="F46">
        <v>0</v>
      </c>
      <c r="G46">
        <v>0.89480999999999999</v>
      </c>
      <c r="H46">
        <v>-8.1997999999999998</v>
      </c>
      <c r="I46">
        <v>22.096</v>
      </c>
      <c r="J46">
        <v>-27.645</v>
      </c>
      <c r="K46">
        <v>19.752400000000002</v>
      </c>
      <c r="L46">
        <v>-8.1113</v>
      </c>
      <c r="M46">
        <v>1.7786599999999999</v>
      </c>
      <c r="N46">
        <v>-0.16172</v>
      </c>
      <c r="O46">
        <v>0</v>
      </c>
      <c r="P46">
        <v>0</v>
      </c>
      <c r="Q46">
        <v>0</v>
      </c>
      <c r="R46">
        <v>0</v>
      </c>
      <c r="S46">
        <v>0</v>
      </c>
    </row>
    <row r="47" spans="1:19" x14ac:dyDescent="0.3">
      <c r="A47" t="s">
        <v>76</v>
      </c>
      <c r="B47" t="s">
        <v>39</v>
      </c>
      <c r="C47">
        <v>4</v>
      </c>
      <c r="D47">
        <v>300</v>
      </c>
      <c r="E47" t="s">
        <v>113</v>
      </c>
      <c r="F47">
        <v>0</v>
      </c>
      <c r="G47">
        <v>-0.57245000000000001</v>
      </c>
      <c r="H47">
        <v>-0.33593000000000001</v>
      </c>
      <c r="I47">
        <v>3.9379</v>
      </c>
      <c r="J47">
        <v>-5.4588999999999999</v>
      </c>
      <c r="K47">
        <v>4.2336999999999998</v>
      </c>
      <c r="L47">
        <v>-1.8653</v>
      </c>
      <c r="M47">
        <v>0.43223</v>
      </c>
      <c r="N47">
        <v>-4.1207000000000001E-2</v>
      </c>
      <c r="O47">
        <v>0</v>
      </c>
      <c r="P47">
        <v>0</v>
      </c>
      <c r="Q47">
        <v>0</v>
      </c>
      <c r="R47">
        <v>0</v>
      </c>
      <c r="S47">
        <v>0</v>
      </c>
    </row>
    <row r="48" spans="1:19" x14ac:dyDescent="0.3">
      <c r="A48" t="s">
        <v>77</v>
      </c>
      <c r="B48" t="s">
        <v>39</v>
      </c>
      <c r="C48">
        <v>4</v>
      </c>
      <c r="D48">
        <v>300</v>
      </c>
      <c r="E48" t="s">
        <v>113</v>
      </c>
      <c r="F48">
        <v>0</v>
      </c>
      <c r="G48">
        <v>-7.1278499999999995E-2</v>
      </c>
      <c r="H48">
        <v>-3.4873500000000002</v>
      </c>
      <c r="I48">
        <v>10.6547</v>
      </c>
      <c r="J48">
        <v>-12.9153</v>
      </c>
      <c r="K48">
        <v>8.8906600000000005</v>
      </c>
      <c r="L48">
        <v>-3.5148199999999998</v>
      </c>
      <c r="M48">
        <v>0.74364300000000005</v>
      </c>
      <c r="N48">
        <v>-6.5788399999999997E-2</v>
      </c>
      <c r="O48">
        <v>0</v>
      </c>
      <c r="P48">
        <v>0</v>
      </c>
      <c r="Q48">
        <v>0</v>
      </c>
      <c r="R48">
        <v>0</v>
      </c>
      <c r="S48">
        <v>0</v>
      </c>
    </row>
    <row r="49" spans="1:19" x14ac:dyDescent="0.3">
      <c r="A49" t="s">
        <v>78</v>
      </c>
      <c r="B49" t="s">
        <v>39</v>
      </c>
      <c r="C49">
        <v>4</v>
      </c>
      <c r="D49">
        <v>300</v>
      </c>
      <c r="E49" t="s">
        <v>113</v>
      </c>
      <c r="F49">
        <v>0</v>
      </c>
      <c r="G49">
        <v>-2.6135000000000002</v>
      </c>
      <c r="H49">
        <v>2.3239000000000001</v>
      </c>
      <c r="I49">
        <v>-4.7586000000000004</v>
      </c>
      <c r="J49">
        <v>7.1601999999999997</v>
      </c>
      <c r="K49">
        <v>-4.9154999999999998</v>
      </c>
      <c r="L49">
        <v>1.6324000000000001</v>
      </c>
      <c r="M49">
        <v>-0.25069999999999998</v>
      </c>
      <c r="N49">
        <v>1.3100000000000001E-2</v>
      </c>
      <c r="O49">
        <v>0</v>
      </c>
      <c r="P49">
        <v>0</v>
      </c>
      <c r="Q49">
        <v>0</v>
      </c>
      <c r="R49">
        <v>0</v>
      </c>
      <c r="S49">
        <v>0</v>
      </c>
    </row>
    <row r="50" spans="1:19" x14ac:dyDescent="0.3">
      <c r="A50" t="s">
        <v>79</v>
      </c>
      <c r="B50" t="s">
        <v>33</v>
      </c>
      <c r="C50">
        <v>3.22</v>
      </c>
      <c r="D50">
        <v>448</v>
      </c>
      <c r="E50" t="s">
        <v>138</v>
      </c>
      <c r="F50">
        <v>66.760000000000005</v>
      </c>
      <c r="G50">
        <v>0.30777199999999999</v>
      </c>
      <c r="H50">
        <v>1.8189500000000001E-2</v>
      </c>
      <c r="I50">
        <v>-6.0862700000000004E-4</v>
      </c>
      <c r="J50">
        <v>5.4774899999999998E-6</v>
      </c>
      <c r="K50">
        <v>0</v>
      </c>
      <c r="L50">
        <v>0</v>
      </c>
      <c r="M50">
        <v>0</v>
      </c>
      <c r="N50">
        <v>0</v>
      </c>
      <c r="O50">
        <v>0</v>
      </c>
      <c r="P50">
        <v>27.909800000000001</v>
      </c>
      <c r="Q50">
        <v>-38.5396</v>
      </c>
      <c r="R50">
        <v>18.288799999999998</v>
      </c>
      <c r="S50">
        <v>-2.8115000000000001</v>
      </c>
    </row>
    <row r="51" spans="1:19" x14ac:dyDescent="0.3">
      <c r="A51" t="s">
        <v>28</v>
      </c>
      <c r="B51" t="s">
        <v>39</v>
      </c>
      <c r="C51">
        <v>3</v>
      </c>
      <c r="D51">
        <v>298</v>
      </c>
      <c r="E51" t="s">
        <v>136</v>
      </c>
      <c r="F51">
        <v>0</v>
      </c>
      <c r="G51">
        <v>-7.3345000000000002</v>
      </c>
      <c r="H51">
        <v>80.855000000000004</v>
      </c>
      <c r="I51">
        <v>-268.44099999999997</v>
      </c>
      <c r="J51">
        <v>481.62900000000002</v>
      </c>
      <c r="K51">
        <v>-503.89</v>
      </c>
      <c r="L51">
        <v>314.81299999999999</v>
      </c>
      <c r="M51">
        <v>-115.699</v>
      </c>
      <c r="N51">
        <v>23.095700000000001</v>
      </c>
      <c r="O51">
        <v>-1.9336199999999999</v>
      </c>
      <c r="P51">
        <v>0</v>
      </c>
      <c r="Q51">
        <v>0</v>
      </c>
      <c r="R51">
        <v>0</v>
      </c>
      <c r="S51">
        <v>0</v>
      </c>
    </row>
    <row r="52" spans="1:19" x14ac:dyDescent="0.3">
      <c r="A52" t="s">
        <v>80</v>
      </c>
      <c r="B52" t="s">
        <v>39</v>
      </c>
      <c r="C52">
        <v>90</v>
      </c>
      <c r="D52">
        <v>300</v>
      </c>
      <c r="E52" t="s">
        <v>113</v>
      </c>
      <c r="F52">
        <v>0</v>
      </c>
      <c r="G52">
        <v>-1557.5</v>
      </c>
      <c r="H52">
        <v>3984.7</v>
      </c>
      <c r="I52">
        <v>-3940.24</v>
      </c>
      <c r="J52">
        <v>1649.67</v>
      </c>
      <c r="K52">
        <v>12.801</v>
      </c>
      <c r="L52">
        <v>-294.262</v>
      </c>
      <c r="M52">
        <v>119.59</v>
      </c>
      <c r="N52">
        <v>-20.630099999999999</v>
      </c>
      <c r="O52">
        <v>1.36067</v>
      </c>
      <c r="P52">
        <v>0</v>
      </c>
      <c r="Q52">
        <v>0</v>
      </c>
      <c r="R52">
        <v>0</v>
      </c>
      <c r="S52">
        <v>0</v>
      </c>
    </row>
    <row r="53" spans="1:19" x14ac:dyDescent="0.3">
      <c r="A53" t="s">
        <v>81</v>
      </c>
      <c r="B53" t="s">
        <v>39</v>
      </c>
      <c r="C53">
        <v>33</v>
      </c>
      <c r="D53">
        <v>300</v>
      </c>
      <c r="E53" t="s">
        <v>113</v>
      </c>
      <c r="F53">
        <v>0</v>
      </c>
      <c r="G53">
        <v>-1145.45</v>
      </c>
      <c r="H53">
        <v>4086.02</v>
      </c>
      <c r="I53">
        <v>-6234.29</v>
      </c>
      <c r="J53">
        <v>5260.11</v>
      </c>
      <c r="K53">
        <v>-2649.91</v>
      </c>
      <c r="L53">
        <v>797.03700000000003</v>
      </c>
      <c r="M53">
        <v>-132.524</v>
      </c>
      <c r="N53">
        <v>9.3968000000000007</v>
      </c>
      <c r="O53">
        <v>0</v>
      </c>
      <c r="P53">
        <v>0</v>
      </c>
      <c r="Q53">
        <v>0</v>
      </c>
      <c r="R53">
        <v>0</v>
      </c>
      <c r="S53">
        <v>0</v>
      </c>
    </row>
    <row r="54" spans="1:19" x14ac:dyDescent="0.3">
      <c r="A54" t="s">
        <v>82</v>
      </c>
      <c r="B54" t="s">
        <v>39</v>
      </c>
      <c r="C54">
        <v>7</v>
      </c>
      <c r="D54">
        <v>300</v>
      </c>
      <c r="E54" t="s">
        <v>113</v>
      </c>
      <c r="F54">
        <v>0</v>
      </c>
      <c r="G54">
        <v>0</v>
      </c>
      <c r="H54">
        <v>-0.14127999999999999</v>
      </c>
      <c r="I54">
        <v>1.4174</v>
      </c>
      <c r="J54">
        <v>-5.8209999999999997</v>
      </c>
      <c r="K54">
        <v>12.722</v>
      </c>
      <c r="L54">
        <v>-15.968999999999999</v>
      </c>
      <c r="M54">
        <v>11.643000000000001</v>
      </c>
      <c r="N54">
        <v>-4.6448999999999998</v>
      </c>
      <c r="O54">
        <v>-1.5194000000000001</v>
      </c>
      <c r="P54">
        <v>0</v>
      </c>
      <c r="Q54">
        <v>0</v>
      </c>
      <c r="R54">
        <v>0</v>
      </c>
      <c r="S54">
        <v>0</v>
      </c>
    </row>
    <row r="55" spans="1:19" x14ac:dyDescent="0.3">
      <c r="A55" t="s">
        <v>83</v>
      </c>
      <c r="B55" t="s">
        <v>39</v>
      </c>
      <c r="C55">
        <v>4</v>
      </c>
      <c r="D55">
        <v>300</v>
      </c>
      <c r="E55" t="s">
        <v>136</v>
      </c>
      <c r="F55">
        <v>0</v>
      </c>
      <c r="G55">
        <v>7.3958199999999996</v>
      </c>
      <c r="H55">
        <v>-59.673699999999997</v>
      </c>
      <c r="I55">
        <v>160.58000000000001</v>
      </c>
      <c r="J55">
        <v>-240.33</v>
      </c>
      <c r="K55">
        <v>218.81700000000001</v>
      </c>
      <c r="L55">
        <v>-124.155</v>
      </c>
      <c r="M55">
        <v>42.908799999999999</v>
      </c>
      <c r="N55">
        <v>-8.2668300000000006</v>
      </c>
      <c r="O55">
        <v>0.68081999999999998</v>
      </c>
      <c r="P55">
        <v>0</v>
      </c>
      <c r="Q55">
        <v>0</v>
      </c>
      <c r="R55">
        <v>0</v>
      </c>
      <c r="S55">
        <v>0</v>
      </c>
    </row>
    <row r="56" spans="1:19" x14ac:dyDescent="0.3">
      <c r="A56" t="s">
        <v>84</v>
      </c>
      <c r="B56" t="s">
        <v>39</v>
      </c>
      <c r="C56">
        <v>76</v>
      </c>
      <c r="D56">
        <v>300</v>
      </c>
      <c r="E56" t="s">
        <v>113</v>
      </c>
      <c r="F56">
        <v>0</v>
      </c>
      <c r="G56">
        <v>-3218.68</v>
      </c>
      <c r="H56">
        <v>9201.61</v>
      </c>
      <c r="I56">
        <v>-10956.7</v>
      </c>
      <c r="J56">
        <v>6950.1</v>
      </c>
      <c r="K56">
        <v>-2476.94</v>
      </c>
      <c r="L56">
        <v>470.28399999999999</v>
      </c>
      <c r="M56">
        <v>-37.166899999999998</v>
      </c>
      <c r="N56">
        <v>0</v>
      </c>
      <c r="O56">
        <v>0</v>
      </c>
      <c r="P56">
        <v>0</v>
      </c>
      <c r="Q56">
        <v>0</v>
      </c>
      <c r="R56">
        <v>0</v>
      </c>
      <c r="S56">
        <v>0</v>
      </c>
    </row>
    <row r="57" spans="1:19" x14ac:dyDescent="0.3">
      <c r="A57" t="s">
        <v>85</v>
      </c>
      <c r="B57" t="s">
        <v>39</v>
      </c>
      <c r="C57">
        <v>100</v>
      </c>
      <c r="D57">
        <v>300</v>
      </c>
      <c r="E57" t="s">
        <v>114</v>
      </c>
      <c r="F57">
        <v>0</v>
      </c>
      <c r="G57">
        <v>3788.43</v>
      </c>
      <c r="H57">
        <v>-7642.66</v>
      </c>
      <c r="I57">
        <v>4592.45</v>
      </c>
      <c r="J57">
        <v>778.84199999999998</v>
      </c>
      <c r="K57">
        <v>-2214.4299999999998</v>
      </c>
      <c r="L57">
        <v>1090.29</v>
      </c>
      <c r="M57">
        <v>-235.63499999999999</v>
      </c>
      <c r="N57">
        <v>19.660900000000002</v>
      </c>
      <c r="O57">
        <v>0</v>
      </c>
      <c r="P57">
        <v>0</v>
      </c>
      <c r="Q57">
        <v>0</v>
      </c>
      <c r="R57">
        <v>0</v>
      </c>
      <c r="S57">
        <v>0</v>
      </c>
    </row>
    <row r="58" spans="1:19" x14ac:dyDescent="0.3">
      <c r="A58" t="s">
        <v>86</v>
      </c>
      <c r="B58" t="s">
        <v>39</v>
      </c>
      <c r="C58">
        <v>30</v>
      </c>
      <c r="D58">
        <v>300</v>
      </c>
      <c r="E58" t="s">
        <v>114</v>
      </c>
      <c r="F58">
        <v>0</v>
      </c>
      <c r="G58">
        <v>-33.898000000000003</v>
      </c>
      <c r="H58">
        <v>117.81</v>
      </c>
      <c r="I58">
        <v>-178.376</v>
      </c>
      <c r="J58">
        <v>142.03800000000001</v>
      </c>
      <c r="K58">
        <v>-63.033999999999999</v>
      </c>
      <c r="L58">
        <v>14.958</v>
      </c>
      <c r="M58">
        <v>-1.5468</v>
      </c>
      <c r="N58">
        <v>2.0625000000000001E-2</v>
      </c>
      <c r="O58">
        <v>0</v>
      </c>
      <c r="P58">
        <v>0</v>
      </c>
      <c r="Q58">
        <v>0</v>
      </c>
      <c r="R58">
        <v>0</v>
      </c>
      <c r="S58">
        <v>0</v>
      </c>
    </row>
    <row r="59" spans="1:19" x14ac:dyDescent="0.3">
      <c r="A59" t="s">
        <v>87</v>
      </c>
      <c r="B59" t="s">
        <v>39</v>
      </c>
      <c r="C59">
        <v>88</v>
      </c>
      <c r="D59">
        <v>300</v>
      </c>
      <c r="E59" t="s">
        <v>113</v>
      </c>
      <c r="F59">
        <v>0</v>
      </c>
      <c r="G59">
        <v>789.79</v>
      </c>
      <c r="H59">
        <v>-2347.94</v>
      </c>
      <c r="I59">
        <v>3024.61</v>
      </c>
      <c r="J59">
        <v>-2206.7600000000002</v>
      </c>
      <c r="K59">
        <v>989.23800000000006</v>
      </c>
      <c r="L59">
        <v>-273.18</v>
      </c>
      <c r="M59">
        <v>43.064999999999998</v>
      </c>
      <c r="N59">
        <v>-2.9863</v>
      </c>
      <c r="O59">
        <v>0</v>
      </c>
      <c r="P59">
        <v>0</v>
      </c>
      <c r="Q59">
        <v>0</v>
      </c>
      <c r="R59">
        <v>0</v>
      </c>
      <c r="S59">
        <v>0</v>
      </c>
    </row>
    <row r="60" spans="1:19" x14ac:dyDescent="0.3">
      <c r="A60" t="s">
        <v>88</v>
      </c>
      <c r="B60" t="s">
        <v>39</v>
      </c>
      <c r="C60">
        <v>100</v>
      </c>
      <c r="D60">
        <v>300</v>
      </c>
      <c r="E60" t="s">
        <v>116</v>
      </c>
      <c r="F60">
        <v>0</v>
      </c>
      <c r="G60">
        <v>11314.6</v>
      </c>
      <c r="H60">
        <v>-30824.3</v>
      </c>
      <c r="I60">
        <v>34964.199999999997</v>
      </c>
      <c r="J60">
        <v>-21141.4</v>
      </c>
      <c r="K60">
        <v>7187.43</v>
      </c>
      <c r="L60">
        <v>-1302.71</v>
      </c>
      <c r="M60">
        <v>98.352500000000006</v>
      </c>
      <c r="N60">
        <v>0</v>
      </c>
      <c r="O60">
        <v>0</v>
      </c>
      <c r="P60">
        <v>0</v>
      </c>
      <c r="Q60">
        <v>0</v>
      </c>
      <c r="R60">
        <v>0</v>
      </c>
      <c r="S60">
        <v>0</v>
      </c>
    </row>
    <row r="61" spans="1:19" x14ac:dyDescent="0.3">
      <c r="A61" t="s">
        <v>89</v>
      </c>
      <c r="B61" t="s">
        <v>39</v>
      </c>
      <c r="C61">
        <v>125</v>
      </c>
      <c r="D61">
        <v>300</v>
      </c>
      <c r="E61" t="s">
        <v>113</v>
      </c>
      <c r="F61">
        <v>0</v>
      </c>
      <c r="G61">
        <v>-4123.51</v>
      </c>
      <c r="H61">
        <v>9690.59</v>
      </c>
      <c r="I61">
        <v>-7920.09</v>
      </c>
      <c r="J61">
        <v>1572.9</v>
      </c>
      <c r="K61">
        <v>1459.99</v>
      </c>
      <c r="L61">
        <v>-1028.33</v>
      </c>
      <c r="M61">
        <v>255.773</v>
      </c>
      <c r="N61">
        <v>-23.319299999999998</v>
      </c>
      <c r="O61">
        <v>0</v>
      </c>
      <c r="P61">
        <v>0</v>
      </c>
      <c r="Q61">
        <v>0</v>
      </c>
      <c r="R61">
        <v>0</v>
      </c>
      <c r="S61">
        <v>0</v>
      </c>
    </row>
    <row r="62" spans="1:19" x14ac:dyDescent="0.3">
      <c r="A62" t="s">
        <v>90</v>
      </c>
      <c r="B62" t="s">
        <v>33</v>
      </c>
      <c r="C62">
        <v>4.4999999999999998E-2</v>
      </c>
      <c r="D62">
        <v>1672</v>
      </c>
      <c r="E62" t="s">
        <v>139</v>
      </c>
      <c r="F62">
        <v>119.471</v>
      </c>
      <c r="G62">
        <v>5.8948E-2</v>
      </c>
      <c r="H62">
        <v>3.84607E-3</v>
      </c>
      <c r="I62">
        <v>-6.6683899999999994E-5</v>
      </c>
      <c r="J62">
        <v>3.1315799999999998E-7</v>
      </c>
      <c r="K62">
        <v>0</v>
      </c>
      <c r="L62">
        <v>0</v>
      </c>
      <c r="M62">
        <v>0</v>
      </c>
      <c r="N62">
        <v>0</v>
      </c>
      <c r="O62">
        <v>0</v>
      </c>
      <c r="P62">
        <v>-1.56968</v>
      </c>
      <c r="Q62">
        <v>2.8241299999999998</v>
      </c>
      <c r="R62">
        <v>-1.09799</v>
      </c>
      <c r="S62">
        <v>0.16169500000000001</v>
      </c>
    </row>
    <row r="63" spans="1:19" x14ac:dyDescent="0.3">
      <c r="A63" t="s">
        <v>34</v>
      </c>
      <c r="B63" t="s">
        <v>33</v>
      </c>
      <c r="C63">
        <v>0.38500000000000001</v>
      </c>
      <c r="D63">
        <v>1672</v>
      </c>
      <c r="E63" t="s">
        <v>140</v>
      </c>
      <c r="F63">
        <v>119.786</v>
      </c>
      <c r="G63">
        <v>6.9650199999999995E-2</v>
      </c>
      <c r="H63">
        <v>3.0138600000000001E-3</v>
      </c>
      <c r="I63">
        <v>-5.0429600000000002E-5</v>
      </c>
      <c r="J63">
        <v>2.2336699999999999E-7</v>
      </c>
      <c r="K63">
        <v>0</v>
      </c>
      <c r="L63">
        <v>0</v>
      </c>
      <c r="M63">
        <v>0</v>
      </c>
      <c r="N63">
        <v>0</v>
      </c>
      <c r="O63">
        <v>0</v>
      </c>
      <c r="P63">
        <v>0.14921300000000001</v>
      </c>
      <c r="Q63">
        <v>0.62353599999999998</v>
      </c>
      <c r="R63">
        <v>-0.17113200000000001</v>
      </c>
      <c r="S63">
        <v>3.4208099999999998E-2</v>
      </c>
    </row>
    <row r="64" spans="1:19" x14ac:dyDescent="0.3">
      <c r="A64" t="s">
        <v>91</v>
      </c>
      <c r="B64" t="s">
        <v>39</v>
      </c>
      <c r="C64">
        <v>4</v>
      </c>
      <c r="D64">
        <v>300</v>
      </c>
      <c r="E64" t="s">
        <v>113</v>
      </c>
      <c r="F64">
        <v>0</v>
      </c>
      <c r="G64">
        <v>-1.4087000000000001</v>
      </c>
      <c r="H64">
        <v>1.3982000000000001</v>
      </c>
      <c r="I64">
        <v>0.25430000000000003</v>
      </c>
      <c r="J64">
        <v>-0.626</v>
      </c>
      <c r="K64">
        <v>0.2334</v>
      </c>
      <c r="L64">
        <v>0.42559999999999998</v>
      </c>
      <c r="M64">
        <v>-0.46579999999999999</v>
      </c>
      <c r="N64">
        <v>0.16500000000000001</v>
      </c>
      <c r="O64">
        <v>-1.9900000000000001E-2</v>
      </c>
      <c r="P64">
        <v>0</v>
      </c>
      <c r="Q64">
        <v>0</v>
      </c>
      <c r="R64">
        <v>0</v>
      </c>
      <c r="S64">
        <v>0</v>
      </c>
    </row>
    <row r="65" spans="1:19" x14ac:dyDescent="0.3">
      <c r="A65" t="s">
        <v>92</v>
      </c>
      <c r="B65" t="s">
        <v>101</v>
      </c>
      <c r="C65">
        <v>0.374</v>
      </c>
      <c r="D65">
        <v>1.67</v>
      </c>
      <c r="E65" t="s">
        <v>141</v>
      </c>
      <c r="F65">
        <v>-4.4448500000000002E-3</v>
      </c>
      <c r="G65">
        <v>0.20047100000000001</v>
      </c>
      <c r="H65">
        <v>-0.166211</v>
      </c>
      <c r="I65">
        <v>4.5059399999999999E-2</v>
      </c>
      <c r="J65">
        <v>0</v>
      </c>
      <c r="K65">
        <v>0</v>
      </c>
      <c r="L65">
        <v>0</v>
      </c>
      <c r="M65">
        <v>0</v>
      </c>
      <c r="N65">
        <v>0</v>
      </c>
      <c r="O65">
        <v>0</v>
      </c>
      <c r="P65">
        <v>0</v>
      </c>
      <c r="Q65">
        <v>0</v>
      </c>
      <c r="R65">
        <v>0</v>
      </c>
      <c r="S65">
        <v>0</v>
      </c>
    </row>
    <row r="66" spans="1:19" x14ac:dyDescent="0.3">
      <c r="A66" t="s">
        <v>93</v>
      </c>
      <c r="B66" t="s">
        <v>39</v>
      </c>
      <c r="C66">
        <v>148.15</v>
      </c>
      <c r="D66">
        <v>1273.1500000000001</v>
      </c>
      <c r="E66" t="s">
        <v>142</v>
      </c>
      <c r="F66">
        <v>0.12534600000000001</v>
      </c>
      <c r="G66">
        <v>0</v>
      </c>
      <c r="H66">
        <v>0</v>
      </c>
      <c r="I66">
        <v>0</v>
      </c>
      <c r="J66">
        <v>0</v>
      </c>
      <c r="K66">
        <v>0</v>
      </c>
      <c r="L66">
        <v>0</v>
      </c>
      <c r="M66">
        <v>0</v>
      </c>
      <c r="N66">
        <v>0</v>
      </c>
      <c r="O66">
        <v>0</v>
      </c>
      <c r="P66">
        <v>0.64670799999999995</v>
      </c>
      <c r="Q66">
        <v>-0.22143199999999999</v>
      </c>
      <c r="R66">
        <v>4.8150600000000002E-2</v>
      </c>
      <c r="S66">
        <v>0</v>
      </c>
    </row>
    <row r="67" spans="1:19" x14ac:dyDescent="0.3">
      <c r="A67" t="s">
        <v>143</v>
      </c>
      <c r="B67" t="s">
        <v>101</v>
      </c>
      <c r="C67">
        <v>4.4999999999999998E-2</v>
      </c>
      <c r="D67">
        <v>57.052</v>
      </c>
      <c r="E67" t="s">
        <v>144</v>
      </c>
      <c r="F67">
        <v>4.8098799999999997E-2</v>
      </c>
      <c r="G67">
        <v>6.6918400000000001E-3</v>
      </c>
      <c r="H67">
        <v>-2.0527800000000001E-4</v>
      </c>
      <c r="I67">
        <v>1.9410900000000001E-6</v>
      </c>
      <c r="J67">
        <v>0</v>
      </c>
      <c r="K67">
        <v>0</v>
      </c>
      <c r="L67">
        <v>0</v>
      </c>
      <c r="M67">
        <v>0</v>
      </c>
      <c r="N67">
        <v>0</v>
      </c>
      <c r="O67">
        <v>0</v>
      </c>
      <c r="P67">
        <v>0</v>
      </c>
      <c r="Q67">
        <v>0</v>
      </c>
      <c r="R67">
        <v>0</v>
      </c>
      <c r="S67">
        <v>0</v>
      </c>
    </row>
    <row r="68" spans="1:19" x14ac:dyDescent="0.3">
      <c r="A68" t="s">
        <v>145</v>
      </c>
      <c r="B68" t="s">
        <v>39</v>
      </c>
      <c r="C68">
        <v>137.77699999999999</v>
      </c>
      <c r="D68">
        <v>1670.15</v>
      </c>
      <c r="E68" t="s">
        <v>146</v>
      </c>
      <c r="F68">
        <v>-0.97872400000000004</v>
      </c>
      <c r="G68">
        <v>0</v>
      </c>
      <c r="H68">
        <v>0</v>
      </c>
      <c r="I68">
        <v>0</v>
      </c>
      <c r="J68">
        <v>0</v>
      </c>
      <c r="K68">
        <v>0</v>
      </c>
      <c r="L68">
        <v>0</v>
      </c>
      <c r="M68">
        <v>0</v>
      </c>
      <c r="N68">
        <v>0</v>
      </c>
      <c r="O68">
        <v>0</v>
      </c>
      <c r="P68">
        <v>1.9790399999999999</v>
      </c>
      <c r="Q68">
        <v>-0.72620499999999999</v>
      </c>
      <c r="R68">
        <v>0.10989599999999999</v>
      </c>
      <c r="S68">
        <v>0</v>
      </c>
    </row>
    <row r="69" spans="1:19" x14ac:dyDescent="0.3">
      <c r="A69" t="s">
        <v>147</v>
      </c>
      <c r="B69" t="s">
        <v>33</v>
      </c>
      <c r="C69">
        <v>0.39300000000000002</v>
      </c>
      <c r="D69">
        <v>1623.194</v>
      </c>
      <c r="E69" t="s">
        <v>148</v>
      </c>
      <c r="F69">
        <v>116.307</v>
      </c>
      <c r="G69">
        <v>6.0495599999999997E-2</v>
      </c>
      <c r="H69">
        <v>3.5604600000000001E-3</v>
      </c>
      <c r="I69">
        <v>-5.9751499999999999E-5</v>
      </c>
      <c r="J69">
        <v>2.7201099999999999E-7</v>
      </c>
      <c r="K69">
        <v>0</v>
      </c>
      <c r="L69">
        <v>0</v>
      </c>
      <c r="M69">
        <v>0</v>
      </c>
      <c r="N69">
        <v>0</v>
      </c>
      <c r="O69">
        <v>0</v>
      </c>
      <c r="P69">
        <v>-1.2478499999999999</v>
      </c>
      <c r="Q69">
        <v>2.17727</v>
      </c>
      <c r="R69">
        <v>-0.74136599999999997</v>
      </c>
      <c r="S69">
        <v>0.103982</v>
      </c>
    </row>
    <row r="70" spans="1:19" x14ac:dyDescent="0.3">
      <c r="A70" t="s">
        <v>29</v>
      </c>
      <c r="B70" t="s">
        <v>39</v>
      </c>
      <c r="C70">
        <v>4</v>
      </c>
      <c r="D70">
        <v>300</v>
      </c>
      <c r="E70" t="s">
        <v>127</v>
      </c>
      <c r="F70">
        <v>0</v>
      </c>
      <c r="G70">
        <v>2.738</v>
      </c>
      <c r="H70">
        <v>-30.677</v>
      </c>
      <c r="I70">
        <v>89.43</v>
      </c>
      <c r="J70">
        <v>-136.99</v>
      </c>
      <c r="K70">
        <v>124.69</v>
      </c>
      <c r="L70">
        <v>-69.555999999999997</v>
      </c>
      <c r="M70">
        <v>23.32</v>
      </c>
      <c r="N70">
        <v>-4.3135000000000003</v>
      </c>
      <c r="O70">
        <v>0.33828999999999998</v>
      </c>
      <c r="P70">
        <v>0</v>
      </c>
      <c r="Q70">
        <v>0</v>
      </c>
      <c r="R70">
        <v>0</v>
      </c>
      <c r="S70">
        <v>0</v>
      </c>
    </row>
    <row r="71" spans="1:19" x14ac:dyDescent="0.3">
      <c r="A71" t="s">
        <v>94</v>
      </c>
      <c r="B71" t="s">
        <v>39</v>
      </c>
      <c r="C71">
        <v>6.0999999999999999E-2</v>
      </c>
      <c r="D71">
        <v>1173.1500000000001</v>
      </c>
      <c r="E71" t="s">
        <v>149</v>
      </c>
      <c r="F71">
        <v>-1.41506</v>
      </c>
      <c r="G71">
        <v>0</v>
      </c>
      <c r="H71">
        <v>0</v>
      </c>
      <c r="I71">
        <v>0</v>
      </c>
      <c r="J71">
        <v>0</v>
      </c>
      <c r="K71">
        <v>0</v>
      </c>
      <c r="L71">
        <v>0</v>
      </c>
      <c r="M71">
        <v>0</v>
      </c>
      <c r="N71">
        <v>0</v>
      </c>
      <c r="O71">
        <v>0</v>
      </c>
      <c r="P71">
        <v>1.72407</v>
      </c>
      <c r="Q71">
        <v>-0.43785499999999999</v>
      </c>
      <c r="R71">
        <v>4.8406200000000003E-2</v>
      </c>
      <c r="S71">
        <v>0</v>
      </c>
    </row>
    <row r="72" spans="1:19" x14ac:dyDescent="0.3">
      <c r="A72" t="s">
        <v>95</v>
      </c>
      <c r="B72" t="s">
        <v>39</v>
      </c>
      <c r="C72">
        <v>1.4</v>
      </c>
      <c r="D72">
        <v>300</v>
      </c>
      <c r="E72" t="s">
        <v>136</v>
      </c>
      <c r="F72">
        <v>0</v>
      </c>
      <c r="G72">
        <v>-2.39879</v>
      </c>
      <c r="H72">
        <v>8.9707399999999993</v>
      </c>
      <c r="I72">
        <v>-29.192900000000002</v>
      </c>
      <c r="J72">
        <v>54.871400000000001</v>
      </c>
      <c r="K72">
        <v>-59.671399999999998</v>
      </c>
      <c r="L72">
        <v>38.8932</v>
      </c>
      <c r="M72">
        <v>-14.941800000000001</v>
      </c>
      <c r="N72">
        <v>3.1116199999999998</v>
      </c>
      <c r="O72">
        <v>-0.270453</v>
      </c>
      <c r="P72">
        <v>0</v>
      </c>
      <c r="Q72">
        <v>0</v>
      </c>
      <c r="R72">
        <v>0</v>
      </c>
      <c r="S72">
        <v>0</v>
      </c>
    </row>
    <row r="73" spans="1:19" x14ac:dyDescent="0.3">
      <c r="A73" t="s">
        <v>30</v>
      </c>
      <c r="B73" t="s">
        <v>101</v>
      </c>
      <c r="C73">
        <v>0.30299999999999999</v>
      </c>
      <c r="D73">
        <v>2.9769999999999999</v>
      </c>
      <c r="E73" t="s">
        <v>150</v>
      </c>
      <c r="F73">
        <v>0</v>
      </c>
      <c r="G73">
        <v>-7.5278599999999997E-4</v>
      </c>
      <c r="H73">
        <v>1.52769E-2</v>
      </c>
      <c r="I73">
        <v>-8.1721499999999996E-3</v>
      </c>
      <c r="J73">
        <v>1.34033E-3</v>
      </c>
      <c r="K73">
        <v>0</v>
      </c>
      <c r="L73">
        <v>0</v>
      </c>
      <c r="M73">
        <v>0</v>
      </c>
      <c r="N73">
        <v>0</v>
      </c>
      <c r="O73">
        <v>0</v>
      </c>
      <c r="P73">
        <v>0</v>
      </c>
      <c r="Q73">
        <v>0</v>
      </c>
      <c r="R73">
        <v>0</v>
      </c>
      <c r="S73">
        <v>0</v>
      </c>
    </row>
    <row r="74" spans="1:19" x14ac:dyDescent="0.3">
      <c r="A74" t="s">
        <v>31</v>
      </c>
      <c r="B74" t="s">
        <v>101</v>
      </c>
      <c r="C74">
        <v>0.32200000000000001</v>
      </c>
      <c r="D74">
        <v>3.032</v>
      </c>
      <c r="E74" t="s">
        <v>151</v>
      </c>
      <c r="F74">
        <v>0</v>
      </c>
      <c r="G74">
        <v>2.5303199999999999E-4</v>
      </c>
      <c r="H74">
        <v>3.15702E-3</v>
      </c>
      <c r="I74">
        <v>-1.8072299999999999E-3</v>
      </c>
      <c r="J74">
        <v>3.4050900000000002E-4</v>
      </c>
      <c r="K74">
        <v>0</v>
      </c>
      <c r="L74">
        <v>0</v>
      </c>
      <c r="M74">
        <v>0</v>
      </c>
      <c r="N74">
        <v>0</v>
      </c>
      <c r="O74">
        <v>0</v>
      </c>
      <c r="P74">
        <v>0</v>
      </c>
      <c r="Q74">
        <v>0</v>
      </c>
      <c r="R74">
        <v>0</v>
      </c>
      <c r="S74">
        <v>0</v>
      </c>
    </row>
    <row r="75" spans="1:19" x14ac:dyDescent="0.3">
      <c r="A75" t="s">
        <v>96</v>
      </c>
      <c r="B75" t="s">
        <v>39</v>
      </c>
      <c r="C75">
        <v>88</v>
      </c>
      <c r="D75">
        <v>300</v>
      </c>
      <c r="E75" t="s">
        <v>136</v>
      </c>
      <c r="F75">
        <v>0</v>
      </c>
      <c r="G75">
        <v>4815.3999999999996</v>
      </c>
      <c r="H75">
        <v>-12969.6</v>
      </c>
      <c r="I75">
        <v>14520.8</v>
      </c>
      <c r="J75">
        <v>-8654.16</v>
      </c>
      <c r="K75">
        <v>2895.71</v>
      </c>
      <c r="L75">
        <v>-515.72699999999998</v>
      </c>
      <c r="M75">
        <v>38.1922</v>
      </c>
      <c r="N75">
        <v>0</v>
      </c>
      <c r="O75">
        <v>0</v>
      </c>
      <c r="P75">
        <v>0</v>
      </c>
      <c r="Q75">
        <v>0</v>
      </c>
      <c r="R75">
        <v>0</v>
      </c>
      <c r="S75">
        <v>0</v>
      </c>
    </row>
    <row r="76" spans="1:19" x14ac:dyDescent="0.3">
      <c r="A76" t="s">
        <v>97</v>
      </c>
      <c r="B76" t="s">
        <v>39</v>
      </c>
      <c r="C76">
        <v>88</v>
      </c>
      <c r="D76">
        <v>300</v>
      </c>
      <c r="E76" t="s">
        <v>116</v>
      </c>
      <c r="F76">
        <v>0</v>
      </c>
      <c r="G76">
        <v>4172.45</v>
      </c>
      <c r="H76">
        <v>-11310</v>
      </c>
      <c r="I76">
        <v>12745.1</v>
      </c>
      <c r="J76">
        <v>-7647.58</v>
      </c>
      <c r="K76">
        <v>2577.31</v>
      </c>
      <c r="L76">
        <v>-462.53800000000001</v>
      </c>
      <c r="M76">
        <v>34.5351</v>
      </c>
      <c r="N76">
        <v>0</v>
      </c>
      <c r="O76">
        <v>0</v>
      </c>
      <c r="P76">
        <v>0</v>
      </c>
      <c r="Q76">
        <v>0</v>
      </c>
      <c r="R76">
        <v>0</v>
      </c>
      <c r="S76">
        <v>0</v>
      </c>
    </row>
    <row r="77" spans="1:19" x14ac:dyDescent="0.3">
      <c r="A77" t="s">
        <v>98</v>
      </c>
      <c r="B77" t="s">
        <v>39</v>
      </c>
      <c r="C77">
        <v>92</v>
      </c>
      <c r="D77">
        <v>300</v>
      </c>
      <c r="E77" t="s">
        <v>116</v>
      </c>
      <c r="F77">
        <v>0</v>
      </c>
      <c r="G77">
        <v>1035.33</v>
      </c>
      <c r="H77">
        <v>-2191.85</v>
      </c>
      <c r="I77">
        <v>1470.51</v>
      </c>
      <c r="J77">
        <v>39.844999999999999</v>
      </c>
      <c r="K77">
        <v>-541.904</v>
      </c>
      <c r="L77">
        <v>289.84399999999999</v>
      </c>
      <c r="M77">
        <v>-65.225300000000004</v>
      </c>
      <c r="N77">
        <v>5.5995600000000003</v>
      </c>
      <c r="O77">
        <v>0</v>
      </c>
      <c r="P77">
        <v>0</v>
      </c>
      <c r="Q77">
        <v>0</v>
      </c>
      <c r="R77">
        <v>0</v>
      </c>
      <c r="S77">
        <v>0</v>
      </c>
    </row>
    <row r="78" spans="1:19" x14ac:dyDescent="0.3">
      <c r="A78" t="s">
        <v>99</v>
      </c>
      <c r="B78" t="s">
        <v>39</v>
      </c>
      <c r="C78">
        <v>92</v>
      </c>
      <c r="D78">
        <v>300</v>
      </c>
      <c r="E78" t="s">
        <v>114</v>
      </c>
      <c r="F78">
        <v>0</v>
      </c>
      <c r="G78">
        <v>-1375.11</v>
      </c>
      <c r="H78">
        <v>3740.69</v>
      </c>
      <c r="I78">
        <v>-4238.47</v>
      </c>
      <c r="J78">
        <v>2559.33</v>
      </c>
      <c r="K78">
        <v>-868.60699999999997</v>
      </c>
      <c r="L78">
        <v>157.102</v>
      </c>
      <c r="M78">
        <v>-11.829599999999999</v>
      </c>
      <c r="N78">
        <v>0</v>
      </c>
      <c r="O78">
        <v>0</v>
      </c>
      <c r="P78">
        <v>0</v>
      </c>
      <c r="Q78">
        <v>0</v>
      </c>
      <c r="R78">
        <v>0</v>
      </c>
      <c r="S78">
        <v>0</v>
      </c>
    </row>
    <row r="79" spans="1:19" x14ac:dyDescent="0.3">
      <c r="A79" t="s">
        <v>100</v>
      </c>
      <c r="B79" t="s">
        <v>32</v>
      </c>
      <c r="C79">
        <v>3.4000000000000002E-2</v>
      </c>
      <c r="D79">
        <v>1000</v>
      </c>
      <c r="E79" t="s">
        <v>37</v>
      </c>
      <c r="F79">
        <v>0</v>
      </c>
      <c r="G79">
        <v>9.2999999999999992E-3</v>
      </c>
      <c r="H79">
        <v>2.7</v>
      </c>
      <c r="I79">
        <v>0</v>
      </c>
      <c r="J79">
        <v>0</v>
      </c>
      <c r="K79">
        <v>0</v>
      </c>
      <c r="L79">
        <v>0</v>
      </c>
      <c r="M79">
        <v>0</v>
      </c>
      <c r="N79">
        <v>0</v>
      </c>
      <c r="O79">
        <v>0</v>
      </c>
      <c r="P79">
        <v>0</v>
      </c>
      <c r="Q79">
        <v>0</v>
      </c>
      <c r="R79">
        <v>0</v>
      </c>
      <c r="S79">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642DF7F023E83B42A295969B81071FB1" ma:contentTypeVersion="12" ma:contentTypeDescription="Create a new document." ma:contentTypeScope="" ma:versionID="115620764744e4f95e85c1c93133efae">
  <xsd:schema xmlns:xsd="http://www.w3.org/2001/XMLSchema" xmlns:xs="http://www.w3.org/2001/XMLSchema" xmlns:p="http://schemas.microsoft.com/office/2006/metadata/properties" xmlns:ns2="b57b8d38-d71d-4b09-92d1-56c751f291a2" xmlns:ns3="1ffedaca-5c83-40f5-a186-3926d7005efb" targetNamespace="http://schemas.microsoft.com/office/2006/metadata/properties" ma:root="true" ma:fieldsID="beb31972c68d58bd50174ccc2df3bc37" ns2:_="" ns3:_="">
    <xsd:import namespace="b57b8d38-d71d-4b09-92d1-56c751f291a2"/>
    <xsd:import namespace="1ffedaca-5c83-40f5-a186-3926d7005efb"/>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2:MediaServiceSearchProperties" minOccurs="0"/>
                <xsd:element ref="ns2:MediaServiceDateTake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7b8d38-d71d-4b09-92d1-56c751f291a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08c7800f-3133-4166-986f-ae8bcd499822"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SearchProperties" ma:index="17" nillable="true" ma:displayName="MediaServiceSearchProperties" ma:hidden="true" ma:internalName="MediaServiceSearchProperties" ma:readOnly="true">
      <xsd:simpleType>
        <xsd:restriction base="dms:Note"/>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ffedaca-5c83-40f5-a186-3926d7005efb"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afdf589d-0cd2-46a5-b29e-a41147d2d56d}" ma:internalName="TaxCatchAll" ma:showField="CatchAllData" ma:web="1ffedaca-5c83-40f5-a186-3926d7005ef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F3D6941-95E7-44DC-BAB7-8F75A8B9C13C}">
  <ds:schemaRefs>
    <ds:schemaRef ds:uri="http://schemas.microsoft.com/DataMashup"/>
  </ds:schemaRefs>
</ds:datastoreItem>
</file>

<file path=customXml/itemProps2.xml><?xml version="1.0" encoding="utf-8"?>
<ds:datastoreItem xmlns:ds="http://schemas.openxmlformats.org/officeDocument/2006/customXml" ds:itemID="{DCEA171C-D833-4F16-9AE7-07F7B6D061DA}"/>
</file>

<file path=customXml/itemProps3.xml><?xml version="1.0" encoding="utf-8"?>
<ds:datastoreItem xmlns:ds="http://schemas.openxmlformats.org/officeDocument/2006/customXml" ds:itemID="{640903EF-508E-4BD0-A10C-3E4A925E53C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Sample Thermal Model</vt:lpstr>
      <vt:lpstr>Tutorial</vt:lpstr>
      <vt:lpstr>ConductivityParameters</vt:lpstr>
      <vt:lpstr>C_SB</vt:lpstr>
      <vt:lpstr>T_ROOM</vt:lpstr>
      <vt:lpstr>T_Stage1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Henry Nachman</dc:creator>
  <cp:lastModifiedBy>Galitzki, Nicholas</cp:lastModifiedBy>
  <dcterms:created xsi:type="dcterms:W3CDTF">2024-03-27T18:46:17Z</dcterms:created>
  <dcterms:modified xsi:type="dcterms:W3CDTF">2024-08-30T04:41:37Z</dcterms:modified>
</cp:coreProperties>
</file>