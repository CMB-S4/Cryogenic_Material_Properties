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https://utexas-my.sharepoint.com/personal/hen367_my_utexas_edu/Documents/01_RESEARCH/05_CMBS4/Cryogenic_Material_Properties/ThermalModelTools/Excel_Notebooks/"/>
    </mc:Choice>
  </mc:AlternateContent>
  <xr:revisionPtr revIDLastSave="133" documentId="8_{F1EEFAC6-4567-499D-B973-5E0933881699}" xr6:coauthVersionLast="47" xr6:coauthVersionMax="47" xr10:uidLastSave="{021118A3-CFF2-4F42-96C6-5D0E767FCAAE}"/>
  <bookViews>
    <workbookView xWindow="-108" yWindow="-108" windowWidth="23256" windowHeight="12456" activeTab="1" xr2:uid="{D1996491-F8EF-4211-958F-AD8973F3D706}"/>
  </bookViews>
  <sheets>
    <sheet name="Sample Thermal Model" sheetId="1" r:id="rId1"/>
    <sheet name="Tutorial" sheetId="6" r:id="rId2"/>
    <sheet name="Conductivity Test Sheet" sheetId="3" r:id="rId3"/>
    <sheet name="ConductivityParameters" sheetId="5" r:id="rId4"/>
  </sheets>
  <functionGroups builtInGroupCount="19"/>
  <definedNames>
    <definedName name="ExternalData_1" localSheetId="3" hidden="1">ConductivityParameters!$A$1:$S$79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 i="1" l="1"/>
  <c r="B2" i="3" l="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E20" i="1"/>
  <c r="E19" i="1"/>
  <c r="E17" i="1"/>
  <c r="E15" i="1"/>
  <c r="B19" i="1"/>
  <c r="B17" i="1"/>
  <c r="B15" i="1"/>
  <c r="B16" i="1" s="1"/>
  <c r="B10" i="1"/>
  <c r="B9" i="1"/>
  <c r="H17" i="1"/>
  <c r="H20" i="1" s="1"/>
  <c r="D15" i="3" a="1"/>
  <c r="D4" i="3" a="1"/>
  <c r="D16" i="3" a="1"/>
  <c r="D29" i="3" a="1"/>
  <c r="D33" i="3" a="1"/>
  <c r="D3" i="3" a="1"/>
  <c r="D74" i="3" a="1"/>
  <c r="D67" i="3" a="1"/>
  <c r="D77" i="3" a="1"/>
  <c r="D58" i="3" a="1"/>
  <c r="D55" i="3" a="1"/>
  <c r="D56" i="3" a="1"/>
  <c r="D34" i="3" a="1"/>
  <c r="D39" i="3" a="1"/>
  <c r="D44" i="3" a="1"/>
  <c r="D49" i="3" a="1"/>
  <c r="D5" i="3" a="1"/>
  <c r="D61" i="3" a="1"/>
  <c r="D31" i="3" a="1"/>
  <c r="E22" i="1"/>
  <c r="D36" i="3" a="1"/>
  <c r="D72" i="3" a="1"/>
  <c r="D23" i="3" a="1"/>
  <c r="D69" i="3" a="1"/>
  <c r="D38" i="3" a="1"/>
  <c r="D28" i="3" a="1"/>
  <c r="D37" i="3" a="1"/>
  <c r="D8" i="3" a="1"/>
  <c r="D59" i="3" a="1"/>
  <c r="D54" i="3" a="1"/>
  <c r="D13" i="3" a="1"/>
  <c r="D32" i="3" a="1"/>
  <c r="D64" i="3" a="1"/>
  <c r="D17" i="3" a="1"/>
  <c r="D68" i="3" a="1"/>
  <c r="D71" i="3" a="1"/>
  <c r="D63" i="3" a="1"/>
  <c r="D47" i="3" a="1"/>
  <c r="D9" i="3" a="1"/>
  <c r="D42" i="3" a="1"/>
  <c r="D21" i="3" a="1"/>
  <c r="D78" i="3" a="1"/>
  <c r="D12" i="3" a="1"/>
  <c r="D27" i="3" a="1"/>
  <c r="D41" i="3" a="1"/>
  <c r="D35" i="3" a="1"/>
  <c r="D10" i="3" a="1"/>
  <c r="D24" i="3" a="1"/>
  <c r="D57" i="3" a="1"/>
  <c r="D18" i="3" a="1"/>
  <c r="D6" i="3" a="1"/>
  <c r="D66" i="3" a="1"/>
  <c r="D51" i="3" a="1"/>
  <c r="D40" i="3" a="1"/>
  <c r="D20" i="3" a="1"/>
  <c r="D46" i="3" a="1"/>
  <c r="H22" i="1"/>
  <c r="D65" i="3" a="1"/>
  <c r="D30" i="3" a="1"/>
  <c r="D50" i="3" a="1"/>
  <c r="D62" i="3" a="1"/>
  <c r="D48" i="3" a="1"/>
  <c r="D73" i="3" a="1"/>
  <c r="D43" i="3" a="1"/>
  <c r="D76" i="3" a="1"/>
  <c r="D22" i="3" a="1"/>
  <c r="D25" i="3" a="1"/>
  <c r="D14" i="3" a="1"/>
  <c r="D2" i="3" a="1"/>
  <c r="D1" i="3" a="1"/>
  <c r="D19" i="3" a="1"/>
  <c r="D70" i="3" a="1"/>
  <c r="D52" i="3" a="1"/>
  <c r="D45" i="3" a="1"/>
  <c r="D11" i="3" a="1"/>
  <c r="D26" i="3" a="1"/>
  <c r="D7" i="3" a="1"/>
  <c r="D75" i="3" a="1"/>
  <c r="D60" i="3" a="1"/>
  <c r="D53" i="3" a="1"/>
  <c r="D77" i="3" l="1"/>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16" i="1"/>
  <c r="E18" i="1" s="1"/>
  <c r="E24" i="1"/>
  <c r="E29" i="1" s="1"/>
  <c r="B18" i="1"/>
  <c r="B20" i="1" s="1"/>
  <c r="B24" i="1" s="1"/>
  <c r="B29" i="1" s="1"/>
  <c r="H24" i="1"/>
  <c r="H29" i="1" s="1"/>
  <c r="I8"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<sst xmlns="http://schemas.openxmlformats.org/spreadsheetml/2006/main" count="313" uniqueCount="174">
  <si>
    <t>Barebones Thermal Model Example</t>
  </si>
  <si>
    <t>Between Room Temperature and Stage 1</t>
  </si>
  <si>
    <t>Room Temperature</t>
  </si>
  <si>
    <t>Stage 1 Temperature</t>
  </si>
  <si>
    <t>Material</t>
  </si>
  <si>
    <t>OD</t>
  </si>
  <si>
    <t>Length</t>
  </si>
  <si>
    <t>Support Cylinder</t>
  </si>
  <si>
    <t>A/L for legs</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</si>
  <si>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</si>
  <si>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</si>
  <si>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</si>
  <si>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</si>
  <si>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</si>
  <si>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</si>
  <si>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</si>
  <si>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</si>
  <si>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</si>
  <si>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</si>
  <si>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</si>
  <si>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</si>
  <si>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</si>
  <si>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</si>
  <si>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</si>
  <si>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</si>
  <si>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</si>
  <si>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</si>
  <si>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</si>
  <si>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</si>
  <si>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</si>
  <si>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</si>
  <si>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</si>
  <si>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</si>
  <si>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</si>
  <si>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</si>
  <si>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</si>
  <si>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</si>
  <si>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</si>
  <si>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</si>
  <si>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</si>
  <si>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</si>
  <si>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</si>
  <si>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</si>
  <si>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</si>
  <si>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</si>
  <si>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</si>
  <si>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</si>
  <si>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</si>
  <si>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</si>
  <si>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</si>
  <si>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</si>
  <si>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</si>
  <si>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</si>
  <si>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</si>
  <si>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</si>
  <si>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</si>
  <si>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</si>
  <si>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</si>
  <si>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</si>
  <si>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</si>
  <si>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</si>
  <si>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</si>
  <si>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</si>
  <si>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</si>
  <si>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</si>
  <si>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</si>
  <si>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</si>
  <si>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</si>
  <si>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</si>
  <si>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</si>
  <si>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</si>
  <si>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</si>
  <si>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</si>
  <si>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</si>
  <si>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</si>
  <si>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</si>
  <si>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</si>
  <si>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</si>
  <si>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</si>
  <si>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</si>
  <si>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</si>
  <si>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</si>
  <si>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</si>
  <si>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</si>
  <si>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</si>
  <si>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</si>
  <si>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</si>
  <si>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</si>
  <si>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</si>
  <si>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</si>
  <si>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</si>
  <si>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</si>
  <si>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</si>
  <si>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</si>
  <si>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</si>
  <si>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</si>
  <si>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</si>
  <si>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</si>
  <si>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</si>
  <si>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</si>
  <si>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</si>
  <si>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</si>
  <si>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</si>
  <si>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</si>
  <si>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</si>
  <si>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</si>
  <si>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</si>
  <si>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Power Total</t>
  </si>
  <si>
    <t>Number of Parts</t>
  </si>
  <si>
    <t>Power per Part</t>
  </si>
  <si>
    <t>Global Variables</t>
  </si>
  <si>
    <t>Room Temp</t>
  </si>
  <si>
    <t>VCS2</t>
  </si>
  <si>
    <t>Thickness</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</si>
  <si>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</si>
  <si>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</si>
  <si>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</si>
  <si>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</si>
  <si>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</si>
  <si>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</si>
  <si>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</si>
  <si>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</si>
  <si>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</si>
  <si>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</si>
  <si>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</si>
  <si>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</si>
  <si>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</si>
  <si>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</si>
  <si>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</si>
  <si>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</si>
  <si>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</si>
  <si>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</si>
  <si>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</si>
  <si>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</si>
  <si>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</si>
  <si>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</si>
  <si>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</si>
  <si>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</si>
  <si>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</si>
  <si>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</si>
  <si>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</si>
  <si>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</si>
  <si>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</si>
  <si>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</si>
  <si>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</si>
  <si>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</si>
  <si>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</si>
  <si>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</si>
  <si>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</si>
  <si>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</si>
  <si>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</si>
  <si>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</si>
  <si>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</si>
  <si>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</si>
  <si>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</si>
  <si>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</si>
  <si>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</si>
  <si>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</si>
  <si>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Welcome, this sheet serves as a tutorial to understand how to best use this Excel notebook.</t>
  </si>
  <si>
    <t>This notebook is designed to help researchers/engineers develop a model for the thermal loading on a cryogenic system. To determine the thermal power load from a given component, the notebook requires the material type and dimensions (A/l), as well as the temperature difference over which the power loading is desired. With this information, the power loading is found by integrating the thermal conductivity of the material over the temperature range and multiplying by the A/l of the component.</t>
  </si>
  <si>
    <r>
      <t xml:space="preserve">The material thermal conductivity functions are stored in the </t>
    </r>
    <r>
      <rPr>
        <i/>
        <sz val="11"/>
        <color theme="1"/>
        <rFont val="Aptos Narrow"/>
        <family val="2"/>
        <scheme val="minor"/>
      </rPr>
      <t xml:space="preserve">ConductivityParameters </t>
    </r>
    <r>
      <rPr>
        <sz val="11"/>
        <color theme="1"/>
        <rFont val="Aptos Narrow"/>
        <family val="2"/>
        <scheme val="minor"/>
      </rPr>
      <t xml:space="preserve">sheet. These parameters are taken from the </t>
    </r>
    <r>
      <rPr>
        <i/>
        <sz val="11"/>
        <color theme="1"/>
        <rFont val="Aptos Narrow"/>
        <family val="2"/>
        <scheme val="minor"/>
      </rPr>
      <t>Cryogenic_Materials_Repository,</t>
    </r>
    <r>
      <rPr>
        <sz val="11"/>
        <color theme="1"/>
        <rFont val="Aptos Narrow"/>
        <family val="2"/>
        <scheme val="minor"/>
      </rPr>
      <t xml:space="preserve"> found on GitHub (more information can be found on that repository).</t>
    </r>
  </si>
  <si>
    <r>
      <t xml:space="preserve">The backbone of this notebook is a set of Excel Macros coded in Visual Basic for Applications.  These functions do all the heavy lifting of calculating the thermal conductivity of a material using the fits found in the </t>
    </r>
    <r>
      <rPr>
        <i/>
        <sz val="11"/>
        <color theme="1"/>
        <rFont val="Aptos Narrow"/>
        <family val="2"/>
        <scheme val="minor"/>
      </rPr>
      <t xml:space="preserve">ConductivityParameters </t>
    </r>
    <r>
      <rPr>
        <sz val="11"/>
        <color theme="1"/>
        <rFont val="Aptos Narrow"/>
        <family val="2"/>
        <scheme val="minor"/>
      </rPr>
      <t xml:space="preserve">sheet, and integrating. </t>
    </r>
  </si>
  <si>
    <t>Total Power</t>
  </si>
  <si>
    <t>Carbon Fiber Support</t>
  </si>
  <si>
    <r>
      <t xml:space="preserve">&lt;-- Note: This power is likely extremely inaccurate because the integration range is well beyond the reported fit range (as shown in the </t>
    </r>
    <r>
      <rPr>
        <i/>
        <sz val="11"/>
        <color theme="1"/>
        <rFont val="Aptos Narrow"/>
        <family val="2"/>
        <scheme val="minor"/>
      </rPr>
      <t xml:space="preserve">ConductivityParameters </t>
    </r>
    <r>
      <rPr>
        <sz val="11"/>
        <color theme="1"/>
        <rFont val="Aptos Narrow"/>
        <family val="2"/>
        <scheme val="minor"/>
      </rPr>
      <t>sheet). Excel will not notify of this problem so it is up to the user to double check the fit range manually.</t>
    </r>
  </si>
  <si>
    <t>Now let us take a look at the calculations for a single component:</t>
  </si>
  <si>
    <t>&lt;-- Definition of the component material. The example file conveniently has a drop down menu of material to choose from.</t>
  </si>
  <si>
    <t>&lt;-- These cells are all used to define the geometric properties of the component. How these properties are defined does not matter so long as eventually you obtain an A/l parameter along the direction of the temperature gradient</t>
  </si>
  <si>
    <t>&lt;-- The A/l parameter used to determine the power of the component</t>
  </si>
  <si>
    <t>&lt;-- The integrated thermal conductivity of the material over the temperature range</t>
  </si>
  <si>
    <t>&lt;-- The integrated thermal conductivity multiplied by the A/l to yield the thermal loading in W.</t>
  </si>
  <si>
    <t>VBA Functions</t>
  </si>
  <si>
    <t>ConInt(Material, TempHigh, TempLow)</t>
  </si>
  <si>
    <t>Conductivity(Material,Temp)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</si>
</sst>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s>
  <fonts count="6" x14ac:knownFonts="1">
    <font>
      <sz val="11"/>
      <color theme="1"/>
      <name val="Aptos Narrow"/>
      <family val="2"/>
      <scheme val="minor"/>
    </font>
    <font>
      <sz val="11"/>
      <color rgb="FF0070C0"/>
      <name val="Aptos Narrow"/>
      <family val="2"/>
      <scheme val="minor"/>
    </font>
    <font>
      <sz val="11"/>
      <name val="Aptos Narrow"/>
      <family val="2"/>
      <scheme val="minor"/>
    </font>
    <font>
      <i/>
      <sz val="11"/>
      <color theme="1"/>
      <name val="Aptos Narrow"/>
      <family val="2"/>
      <scheme val="minor"/>
    </font>
    <font>
      <sz val="11"/>
      <color theme="3" tint="0.249977111117893"/>
      <name val="Aptos Narrow"/>
      <family val="2"/>
      <scheme val="minor"/>
    </font>
    <font>
      <sz val="18"/>
      <color theme="1"/>
      <name val="Aptos Narrow"/>
      <family val="2"/>
      <scheme val="minor"/>
    </font>
  </fonts>
  <fills count="4">
    <fill>
      <patternFill patternType="none"/>
    </fill>
    <fill>
      <patternFill patternType="gray125"/>
    </fill>
    <fill>
      <patternFill patternType="solid">
        <fgColor theme="6" tint="0.79998168889431442"/>
        <bgColor indexed="64"/>
      </patternFill>
    </fill>
    <fill>
      <patternFill patternType="solid">
        <fgColor theme="5" tint="0.7999816888943144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0" fontId="0" fillId="0" borderId="0" xfId="0" applyAlignment="1">
      <alignment horizontal="left" vertical="center"/>
    </xf>
    <xf numFmtId="165" fontId="1" fillId="0" borderId="0" xfId="0" applyNumberFormat="1" applyFont="1" applyAlignment="1">
      <alignment horizontal="center" vertical="center"/>
    </xf>
    <xf numFmtId="0" fontId="0" fillId="0" borderId="0" xfId="0" applyAlignment="1">
      <alignment vertical="top" wrapText="1"/>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164" fontId="1" fillId="0" borderId="5" xfId="0" applyNumberFormat="1" applyFont="1" applyBorder="1" applyAlignment="1">
      <alignment horizontal="center" vertical="center"/>
    </xf>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0" fontId="1" fillId="0" borderId="5" xfId="0" applyFont="1" applyBorder="1" applyAlignment="1">
      <alignment horizontal="center" vertical="center"/>
    </xf>
    <xf numFmtId="166" fontId="2" fillId="0" borderId="0" xfId="0" applyNumberFormat="1" applyFont="1" applyAlignment="1">
      <alignment horizontal="center" vertical="center"/>
    </xf>
    <xf numFmtId="0" fontId="1" fillId="0" borderId="0" xfId="0" applyFont="1" applyAlignment="1">
      <alignment horizontal="center" vertical="center"/>
    </xf>
    <xf numFmtId="168" fontId="2" fillId="0" borderId="0" xfId="0" applyNumberFormat="1" applyFont="1" applyAlignment="1">
      <alignment horizontal="center" vertical="center"/>
    </xf>
    <xf numFmtId="169" fontId="2" fillId="0" borderId="0" xfId="0" applyNumberFormat="1" applyFont="1" applyAlignment="1">
      <alignment horizontal="center" vertical="center"/>
    </xf>
    <xf numFmtId="0" fontId="0" fillId="0" borderId="6" xfId="0" applyBorder="1" applyAlignment="1">
      <alignment horizontal="center" vertical="center"/>
    </xf>
    <xf numFmtId="169" fontId="0" fillId="2" borderId="7" xfId="0" applyNumberFormat="1"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0" fillId="3" borderId="0" xfId="0" applyFill="1" applyAlignment="1">
      <alignment horizontal="center" vertical="center"/>
    </xf>
    <xf numFmtId="11" fontId="0" fillId="3" borderId="0" xfId="0" applyNumberFormat="1" applyFill="1" applyAlignment="1">
      <alignment horizontal="center" vertical="center"/>
    </xf>
    <xf numFmtId="0" fontId="4" fillId="0" borderId="0" xfId="0" applyFont="1" applyAlignment="1">
      <alignment horizontal="center" vertical="center"/>
    </xf>
    <xf numFmtId="169" fontId="4" fillId="3" borderId="0" xfId="0" applyNumberFormat="1" applyFont="1" applyFill="1" applyAlignment="1">
      <alignment horizontal="center" vertical="center"/>
    </xf>
    <xf numFmtId="0" fontId="0" fillId="0" borderId="0" xfId="0" applyAlignment="1">
      <alignment horizontal="left" vertical="top"/>
    </xf>
    <xf numFmtId="0" fontId="0" fillId="0" borderId="0" xfId="0" applyAlignment="1">
      <alignment horizontal="center" vertical="top" wrapText="1"/>
    </xf>
    <xf numFmtId="0" fontId="0" fillId="0" borderId="0" xfId="0" applyAlignment="1">
      <alignment horizontal="center" vertical="center"/>
    </xf>
    <xf numFmtId="0" fontId="0" fillId="3" borderId="0" xfId="0" applyFill="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left"/>
    </xf>
    <xf numFmtId="0" fontId="0" fillId="0" borderId="0" xfId="0" applyAlignment="1">
      <alignment horizontal="center" wrapText="1"/>
    </xf>
    <xf numFmtId="0" fontId="5" fillId="3" borderId="0" xfId="0" applyFont="1" applyFill="1" applyAlignment="1">
      <alignment horizont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28575</xdr:colOff>
      <xdr:row>21</xdr:row>
      <xdr:rowOff>142875</xdr:rowOff>
    </xdr:from>
    <xdr:to>
      <xdr:col>6</xdr:col>
      <xdr:colOff>381390</xdr:colOff>
      <xdr:row>40</xdr:row>
      <xdr:rowOff>38591</xdr:rowOff>
    </xdr:to>
    <xdr:pic>
      <xdr:nvPicPr>
        <xdr:cNvPr id="2" name="Picture 1">
          <a:extLst>
            <a:ext uri="{FF2B5EF4-FFF2-40B4-BE49-F238E27FC236}">
              <a16:creationId xmlns:a16="http://schemas.microsoft.com/office/drawing/2014/main" id="{3B300B9B-FFB2-EF9D-0BF9-64AD4A366923}"/>
            </a:ext>
          </a:extLst>
        </xdr:cNvPr>
        <xdr:cNvPicPr>
          <a:picLocks noChangeAspect="1"/>
        </xdr:cNvPicPr>
      </xdr:nvPicPr>
      <xdr:blipFill>
        <a:blip xmlns:r="http://schemas.openxmlformats.org/officeDocument/2006/relationships" r:embed="rId1"/>
        <a:stretch>
          <a:fillRect/>
        </a:stretch>
      </xdr:blipFill>
      <xdr:spPr>
        <a:xfrm>
          <a:off x="1247775" y="4143375"/>
          <a:ext cx="2791215" cy="3515216"/>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N37"/>
  <sheetViews>
    <sheetView topLeftCell="A6" workbookViewId="0">
      <selection activeCell="B22" sqref="B22"/>
    </sheetView>
  </sheetViews>
  <sheetFormatPr defaultColWidth="8.88671875" defaultRowHeight="14.4" x14ac:dyDescent="0.3"/>
  <cols>
    <col min="1" max="1" width="21.44140625" style="1" customWidth="1"/>
    <col min="2" max="2" width="23.109375" style="1" customWidth="1"/>
    <col min="3" max="3" width="8.44140625" style="1" customWidth="1"/>
    <col min="4" max="4" width="15.33203125" style="1" customWidth="1"/>
    <col min="5" max="5" width="16.5546875" style="1" customWidth="1"/>
    <col min="6" max="6" width="8.88671875" style="1"/>
    <col min="7" max="7" width="15.33203125" style="1" customWidth="1"/>
    <col min="8" max="8" width="16.88671875" style="1" customWidth="1"/>
    <col min="9" max="9" width="17.109375" style="1" customWidth="1"/>
    <col min="10" max="16384" width="8.88671875" style="1"/>
  </cols>
  <sheetData>
    <row r="1" spans="1:9" x14ac:dyDescent="0.3">
      <c r="A1" s="29" t="s">
        <v>0</v>
      </c>
      <c r="B1" s="29"/>
      <c r="C1" s="29"/>
      <c r="D1" s="29"/>
    </row>
    <row r="2" spans="1:9" ht="15" thickBot="1" x14ac:dyDescent="0.35"/>
    <row r="3" spans="1:9" x14ac:dyDescent="0.3">
      <c r="A3" s="6" t="s">
        <v>110</v>
      </c>
      <c r="B3" s="7"/>
      <c r="C3" s="7"/>
      <c r="D3" s="7"/>
      <c r="E3" s="7"/>
      <c r="F3" s="7"/>
      <c r="G3" s="7"/>
      <c r="H3" s="7"/>
      <c r="I3" s="8"/>
    </row>
    <row r="4" spans="1:9" x14ac:dyDescent="0.3">
      <c r="A4" s="9" t="s">
        <v>111</v>
      </c>
      <c r="B4" s="1">
        <v>260</v>
      </c>
      <c r="I4" s="10"/>
    </row>
    <row r="5" spans="1:9" x14ac:dyDescent="0.3">
      <c r="A5" s="9" t="s">
        <v>112</v>
      </c>
      <c r="B5" s="1">
        <v>169.2</v>
      </c>
      <c r="I5" s="10"/>
    </row>
    <row r="6" spans="1:9" ht="15" thickBot="1" x14ac:dyDescent="0.35">
      <c r="A6" s="19"/>
      <c r="B6" s="22"/>
      <c r="C6" s="22"/>
      <c r="D6" s="22"/>
      <c r="E6" s="22"/>
      <c r="F6" s="22"/>
      <c r="G6" s="22"/>
      <c r="H6" s="22"/>
      <c r="I6" s="21"/>
    </row>
    <row r="8" spans="1:9" x14ac:dyDescent="0.3">
      <c r="A8" s="30" t="s">
        <v>1</v>
      </c>
      <c r="B8" s="30"/>
      <c r="C8" s="23"/>
      <c r="D8" s="23"/>
      <c r="E8" s="23"/>
      <c r="F8" s="23"/>
      <c r="G8" s="23"/>
      <c r="H8" s="24" t="s">
        <v>162</v>
      </c>
      <c r="I8" s="26">
        <f>SUM(B29,E29,H29)</f>
        <v>-993636339.95332479</v>
      </c>
    </row>
    <row r="9" spans="1:9" x14ac:dyDescent="0.3">
      <c r="A9" s="3" t="s">
        <v>2</v>
      </c>
      <c r="B9" s="4">
        <f>B4</f>
        <v>260</v>
      </c>
      <c r="C9" s="4"/>
      <c r="H9" s="2"/>
    </row>
    <row r="10" spans="1:9" x14ac:dyDescent="0.3">
      <c r="A10" s="3" t="s">
        <v>3</v>
      </c>
      <c r="B10" s="4">
        <f>B5</f>
        <v>169.2</v>
      </c>
      <c r="C10" s="4"/>
      <c r="H10" s="2"/>
    </row>
    <row r="11" spans="1:9" ht="15" thickBot="1" x14ac:dyDescent="0.35">
      <c r="H11" s="2"/>
    </row>
    <row r="12" spans="1:9" x14ac:dyDescent="0.3">
      <c r="A12" s="31" t="s">
        <v>7</v>
      </c>
      <c r="B12" s="32"/>
      <c r="C12" s="33"/>
      <c r="D12" s="31" t="s">
        <v>7</v>
      </c>
      <c r="E12" s="32"/>
      <c r="F12" s="33"/>
      <c r="G12" s="31" t="s">
        <v>163</v>
      </c>
      <c r="H12" s="32"/>
      <c r="I12" s="33"/>
    </row>
    <row r="13" spans="1:9" x14ac:dyDescent="0.3">
      <c r="A13" s="9" t="s">
        <v>4</v>
      </c>
      <c r="B13" s="25" t="s">
        <v>93</v>
      </c>
      <c r="C13" s="10"/>
      <c r="D13" s="9" t="s">
        <v>4</v>
      </c>
      <c r="E13" s="16" t="s">
        <v>39</v>
      </c>
      <c r="F13" s="10"/>
      <c r="G13" s="9" t="s">
        <v>4</v>
      </c>
      <c r="H13" s="16" t="s">
        <v>25</v>
      </c>
      <c r="I13" s="10"/>
    </row>
    <row r="14" spans="1:9" x14ac:dyDescent="0.3">
      <c r="A14" s="9"/>
      <c r="C14" s="11"/>
      <c r="D14" s="9"/>
      <c r="F14" s="10"/>
      <c r="G14" s="9"/>
      <c r="I14" s="10"/>
    </row>
    <row r="15" spans="1:9" x14ac:dyDescent="0.3">
      <c r="A15" s="9" t="s">
        <v>5</v>
      </c>
      <c r="B15" s="12">
        <f>35.625*0.0254</f>
        <v>0.90487499999999998</v>
      </c>
      <c r="C15" s="11"/>
      <c r="D15" s="9" t="s">
        <v>5</v>
      </c>
      <c r="E15" s="12">
        <f>1*0.0254</f>
        <v>2.5399999999999999E-2</v>
      </c>
      <c r="F15" s="10"/>
      <c r="G15" s="9" t="s">
        <v>5</v>
      </c>
      <c r="H15" s="12">
        <v>0.01</v>
      </c>
      <c r="I15" s="10"/>
    </row>
    <row r="16" spans="1:9" x14ac:dyDescent="0.3">
      <c r="A16" s="9" t="s">
        <v>106</v>
      </c>
      <c r="B16" s="12">
        <f>B15-2*B17</f>
        <v>0.90169999999999995</v>
      </c>
      <c r="C16" s="11"/>
      <c r="D16" s="9" t="s">
        <v>106</v>
      </c>
      <c r="E16" s="12">
        <f>E15-2*E17</f>
        <v>2.4383999999999999E-2</v>
      </c>
      <c r="F16" s="10"/>
      <c r="G16" s="9" t="s">
        <v>106</v>
      </c>
      <c r="H16" s="12">
        <v>8.0000000000000002E-3</v>
      </c>
      <c r="I16" s="10"/>
    </row>
    <row r="17" spans="1:14" x14ac:dyDescent="0.3">
      <c r="A17" s="9" t="s">
        <v>113</v>
      </c>
      <c r="B17" s="1">
        <f>0.0625*0.0254</f>
        <v>1.5874999999999999E-3</v>
      </c>
      <c r="C17" s="11"/>
      <c r="D17" s="9" t="s">
        <v>113</v>
      </c>
      <c r="E17" s="1">
        <f>0.02*0.0254</f>
        <v>5.0799999999999999E-4</v>
      </c>
      <c r="F17" s="10"/>
      <c r="G17" s="9" t="s">
        <v>105</v>
      </c>
      <c r="H17" s="13">
        <f>(PI()*(H15/2)^2)-(PI()*(H16/2)^2)</f>
        <v>2.8274333882308141E-5</v>
      </c>
      <c r="I17" s="10"/>
    </row>
    <row r="18" spans="1:14" x14ac:dyDescent="0.3">
      <c r="A18" s="9" t="s">
        <v>105</v>
      </c>
      <c r="B18" s="13">
        <f>(PI()*(B15/2)^2)-(PI()*(B16/2)^2)</f>
        <v>4.5049461813512215E-3</v>
      </c>
      <c r="C18" s="11"/>
      <c r="D18" s="9" t="s">
        <v>105</v>
      </c>
      <c r="E18" s="13">
        <f>(PI()*(E15/2)^2)-(PI()*(E16/2)^2)</f>
        <v>3.9725866361243816E-5</v>
      </c>
      <c r="F18" s="10"/>
      <c r="G18" s="9" t="s">
        <v>6</v>
      </c>
      <c r="H18" s="12">
        <v>0.1</v>
      </c>
      <c r="I18" s="10"/>
    </row>
    <row r="19" spans="1:14" x14ac:dyDescent="0.3">
      <c r="A19" s="9" t="s">
        <v>6</v>
      </c>
      <c r="B19" s="12">
        <f>29*0.0254</f>
        <v>0.73659999999999992</v>
      </c>
      <c r="C19" s="14"/>
      <c r="D19" s="9" t="s">
        <v>6</v>
      </c>
      <c r="E19" s="12">
        <f>2.9*0.0254</f>
        <v>7.3659999999999989E-2</v>
      </c>
      <c r="F19" s="10"/>
      <c r="G19" s="9"/>
      <c r="I19" s="10"/>
    </row>
    <row r="20" spans="1:14" x14ac:dyDescent="0.3">
      <c r="A20" s="9" t="s">
        <v>8</v>
      </c>
      <c r="B20" s="15">
        <f>B18/B19</f>
        <v>6.1158650303437716E-3</v>
      </c>
      <c r="C20" s="14"/>
      <c r="D20" s="9" t="s">
        <v>8</v>
      </c>
      <c r="E20" s="15">
        <f>0.0000858418</f>
        <v>8.5841799999999995E-5</v>
      </c>
      <c r="F20" s="10"/>
      <c r="G20" s="9" t="s">
        <v>8</v>
      </c>
      <c r="H20" s="15">
        <f>H17/H18</f>
        <v>2.8274333882308137E-4</v>
      </c>
      <c r="I20" s="10"/>
    </row>
    <row r="21" spans="1:14" x14ac:dyDescent="0.3">
      <c r="A21" s="9"/>
      <c r="B21" s="16"/>
      <c r="C21" s="14"/>
      <c r="D21" s="9"/>
      <c r="E21" s="16"/>
      <c r="F21" s="10"/>
      <c r="G21" s="9"/>
      <c r="H21" s="16"/>
      <c r="I21" s="10"/>
    </row>
    <row r="22" spans="1:14" x14ac:dyDescent="0.3">
      <c r="A22" s="9" t="s">
        <v>9</v>
      </c>
      <c r="B22" s="17">
        <f>ConInt(B13,$B$9,$B$10)</f>
        <v>1138.1371992498939</v>
      </c>
      <c r="C22" s="10"/>
      <c r="D22" s="9" t="s">
        <v>9</v>
      </c>
      <c r="E22" s="17">
        <f>ConInt(E13,$B$9,$B$10)</f>
        <v>-3858955497208.8892</v>
      </c>
      <c r="F22" s="10"/>
      <c r="G22" s="9" t="s">
        <v>9</v>
      </c>
      <c r="H22" s="17">
        <f>ConInt(H13,$B$9,$B$10)</f>
        <v>50473722.031383619</v>
      </c>
      <c r="I22" s="10"/>
    </row>
    <row r="23" spans="1:14" x14ac:dyDescent="0.3">
      <c r="A23" s="9"/>
      <c r="C23" s="10"/>
      <c r="D23" s="9"/>
      <c r="F23" s="10"/>
      <c r="G23" s="9"/>
      <c r="I23" s="10"/>
    </row>
    <row r="24" spans="1:14" x14ac:dyDescent="0.3">
      <c r="A24" s="9" t="s">
        <v>109</v>
      </c>
      <c r="B24" s="18">
        <f>B20*B22</f>
        <v>6.9606934966258276</v>
      </c>
      <c r="C24" s="10"/>
      <c r="D24" s="9" t="s">
        <v>109</v>
      </c>
      <c r="E24" s="18">
        <f>E20*E22</f>
        <v>-331259686.00030601</v>
      </c>
      <c r="F24" s="10"/>
      <c r="G24" s="9" t="s">
        <v>109</v>
      </c>
      <c r="H24" s="18">
        <f>H20*H22</f>
        <v>14271.108689981525</v>
      </c>
      <c r="I24" s="10"/>
    </row>
    <row r="25" spans="1:14" x14ac:dyDescent="0.3">
      <c r="A25" s="9"/>
      <c r="C25" s="10"/>
      <c r="D25" s="9"/>
      <c r="F25" s="10"/>
      <c r="G25" s="9"/>
      <c r="I25" s="10"/>
    </row>
    <row r="26" spans="1:14" x14ac:dyDescent="0.3">
      <c r="A26" s="9"/>
      <c r="C26" s="10"/>
      <c r="D26" s="9"/>
      <c r="F26" s="10"/>
      <c r="G26" s="9"/>
      <c r="I26" s="10"/>
    </row>
    <row r="27" spans="1:14" x14ac:dyDescent="0.3">
      <c r="A27" s="9"/>
      <c r="C27" s="10"/>
      <c r="D27" s="9"/>
      <c r="F27" s="10"/>
      <c r="G27" s="9"/>
      <c r="I27" s="10"/>
    </row>
    <row r="28" spans="1:14" x14ac:dyDescent="0.3">
      <c r="A28" s="9" t="s">
        <v>108</v>
      </c>
      <c r="B28" s="16">
        <v>1</v>
      </c>
      <c r="C28" s="10"/>
      <c r="D28" s="9" t="s">
        <v>108</v>
      </c>
      <c r="E28" s="16">
        <v>3</v>
      </c>
      <c r="F28" s="10"/>
      <c r="G28" s="9" t="s">
        <v>108</v>
      </c>
      <c r="H28" s="16">
        <v>10</v>
      </c>
      <c r="I28" s="10"/>
    </row>
    <row r="29" spans="1:14" ht="15" customHeight="1" thickBot="1" x14ac:dyDescent="0.35">
      <c r="A29" s="19" t="s">
        <v>107</v>
      </c>
      <c r="B29" s="20">
        <f>B24*B28</f>
        <v>6.9606934966258276</v>
      </c>
      <c r="C29" s="21"/>
      <c r="D29" s="19" t="s">
        <v>107</v>
      </c>
      <c r="E29" s="20">
        <f>E24*E28</f>
        <v>-993779058.00091803</v>
      </c>
      <c r="F29" s="21"/>
      <c r="G29" s="19" t="s">
        <v>107</v>
      </c>
      <c r="H29" s="20">
        <f>H24*H28</f>
        <v>142711.08689981524</v>
      </c>
      <c r="I29" s="21"/>
      <c r="J29" s="28" t="s">
        <v>164</v>
      </c>
      <c r="K29" s="28"/>
      <c r="L29" s="28"/>
      <c r="M29" s="28"/>
      <c r="N29" s="28"/>
    </row>
    <row r="30" spans="1:14" x14ac:dyDescent="0.3">
      <c r="J30" s="28"/>
      <c r="K30" s="28"/>
      <c r="L30" s="28"/>
      <c r="M30" s="28"/>
      <c r="N30" s="28"/>
    </row>
    <row r="31" spans="1:14" x14ac:dyDescent="0.3">
      <c r="J31" s="28"/>
      <c r="K31" s="28"/>
      <c r="L31" s="28"/>
      <c r="M31" s="28"/>
      <c r="N31" s="28"/>
    </row>
    <row r="32" spans="1:14" x14ac:dyDescent="0.3">
      <c r="J32" s="28"/>
      <c r="K32" s="28"/>
      <c r="L32" s="28"/>
      <c r="M32" s="28"/>
      <c r="N32" s="28"/>
    </row>
    <row r="33" spans="10:14" x14ac:dyDescent="0.3">
      <c r="J33" s="28"/>
      <c r="K33" s="28"/>
      <c r="L33" s="28"/>
      <c r="M33" s="28"/>
      <c r="N33" s="28"/>
    </row>
    <row r="34" spans="10:14" x14ac:dyDescent="0.3">
      <c r="J34" s="28"/>
      <c r="K34" s="28"/>
      <c r="L34" s="28"/>
      <c r="M34" s="28"/>
      <c r="N34" s="28"/>
    </row>
    <row r="35" spans="10:14" x14ac:dyDescent="0.3">
      <c r="J35" s="28"/>
      <c r="K35" s="28"/>
      <c r="L35" s="28"/>
      <c r="M35" s="28"/>
      <c r="N35" s="28"/>
    </row>
    <row r="36" spans="10:14" x14ac:dyDescent="0.3">
      <c r="J36" s="28"/>
      <c r="K36" s="28"/>
      <c r="L36" s="28"/>
      <c r="M36" s="28"/>
      <c r="N36" s="28"/>
    </row>
    <row r="37" spans="10:14" ht="14.4" customHeight="1" x14ac:dyDescent="0.3"/>
  </sheetData>
  <mergeCells count="6">
    <mergeCell ref="J29:N36"/>
    <mergeCell ref="A1:D1"/>
    <mergeCell ref="A8:B8"/>
    <mergeCell ref="A12:C12"/>
    <mergeCell ref="D12:F12"/>
    <mergeCell ref="G12:I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65E1308-7B37-499B-B627-09E71644374E}">
          <x14:formula1>
            <xm:f>ConductivityParameters!$A:$A</xm:f>
          </x14:formula1>
          <xm:sqref>B13 H13 E13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FFF07-82A1-4D3A-A432-731B4F513E59}">
  <sheetPr codeName="Sheet2"/>
  <dimension ref="B2:L47"/>
  <sheetViews>
    <sheetView tabSelected="1" topLeftCell="A34" workbookViewId="0">
      <selection activeCell="J44" sqref="J44"/>
    </sheetView>
  </sheetViews>
  <sheetFormatPr defaultRowHeight="14.4" x14ac:dyDescent="0.3"/>
  <cols>
    <col min="8" max="8" width="9.6640625" customWidth="1"/>
  </cols>
  <sheetData>
    <row r="2" spans="2:10" x14ac:dyDescent="0.3">
      <c r="B2" t="s">
        <v>158</v>
      </c>
    </row>
    <row r="4" spans="2:10" ht="15" customHeight="1" x14ac:dyDescent="0.3">
      <c r="B4" s="28" t="s">
        <v>159</v>
      </c>
      <c r="C4" s="28"/>
      <c r="D4" s="28"/>
      <c r="E4" s="28"/>
      <c r="F4" s="28"/>
      <c r="G4" s="28"/>
      <c r="H4" s="28"/>
      <c r="I4" s="28"/>
      <c r="J4" s="28"/>
    </row>
    <row r="5" spans="2:10" x14ac:dyDescent="0.3">
      <c r="B5" s="28"/>
      <c r="C5" s="28"/>
      <c r="D5" s="28"/>
      <c r="E5" s="28"/>
      <c r="F5" s="28"/>
      <c r="G5" s="28"/>
      <c r="H5" s="28"/>
      <c r="I5" s="28"/>
      <c r="J5" s="28"/>
    </row>
    <row r="6" spans="2:10" x14ac:dyDescent="0.3">
      <c r="B6" s="28"/>
      <c r="C6" s="28"/>
      <c r="D6" s="28"/>
      <c r="E6" s="28"/>
      <c r="F6" s="28"/>
      <c r="G6" s="28"/>
      <c r="H6" s="28"/>
      <c r="I6" s="28"/>
      <c r="J6" s="28"/>
    </row>
    <row r="7" spans="2:10" x14ac:dyDescent="0.3">
      <c r="B7" s="28"/>
      <c r="C7" s="28"/>
      <c r="D7" s="28"/>
      <c r="E7" s="28"/>
      <c r="F7" s="28"/>
      <c r="G7" s="28"/>
      <c r="H7" s="28"/>
      <c r="I7" s="28"/>
      <c r="J7" s="28"/>
    </row>
    <row r="8" spans="2:10" x14ac:dyDescent="0.3">
      <c r="B8" s="28"/>
      <c r="C8" s="28"/>
      <c r="D8" s="28"/>
      <c r="E8" s="28"/>
      <c r="F8" s="28"/>
      <c r="G8" s="28"/>
      <c r="H8" s="28"/>
      <c r="I8" s="28"/>
      <c r="J8" s="28"/>
    </row>
    <row r="9" spans="2:10" x14ac:dyDescent="0.3">
      <c r="B9" s="28"/>
      <c r="C9" s="28"/>
      <c r="D9" s="28"/>
      <c r="E9" s="28"/>
      <c r="F9" s="28"/>
      <c r="G9" s="28"/>
      <c r="H9" s="28"/>
      <c r="I9" s="28"/>
      <c r="J9" s="28"/>
    </row>
    <row r="10" spans="2:10" x14ac:dyDescent="0.3">
      <c r="B10" s="5"/>
      <c r="C10" s="5"/>
      <c r="D10" s="5"/>
      <c r="E10" s="5"/>
      <c r="F10" s="5"/>
      <c r="G10" s="5"/>
      <c r="H10" s="5"/>
      <c r="I10" s="5"/>
      <c r="J10" s="5"/>
    </row>
    <row r="11" spans="2:10" x14ac:dyDescent="0.3">
      <c r="B11" s="28" t="s">
        <v>160</v>
      </c>
      <c r="C11" s="28"/>
      <c r="D11" s="28"/>
      <c r="E11" s="28"/>
      <c r="F11" s="28"/>
      <c r="G11" s="28"/>
      <c r="H11" s="28"/>
      <c r="I11" s="28"/>
      <c r="J11" s="28"/>
    </row>
    <row r="12" spans="2:10" x14ac:dyDescent="0.3">
      <c r="B12" s="28"/>
      <c r="C12" s="28"/>
      <c r="D12" s="28"/>
      <c r="E12" s="28"/>
      <c r="F12" s="28"/>
      <c r="G12" s="28"/>
      <c r="H12" s="28"/>
      <c r="I12" s="28"/>
      <c r="J12" s="28"/>
    </row>
    <row r="13" spans="2:10" x14ac:dyDescent="0.3">
      <c r="B13" s="28"/>
      <c r="C13" s="28"/>
      <c r="D13" s="28"/>
      <c r="E13" s="28"/>
      <c r="F13" s="28"/>
      <c r="G13" s="28"/>
      <c r="H13" s="28"/>
      <c r="I13" s="28"/>
      <c r="J13" s="28"/>
    </row>
    <row r="14" spans="2:10" x14ac:dyDescent="0.3">
      <c r="B14" s="28"/>
      <c r="C14" s="28"/>
      <c r="D14" s="28"/>
      <c r="E14" s="28"/>
      <c r="F14" s="28"/>
      <c r="G14" s="28"/>
      <c r="H14" s="28"/>
      <c r="I14" s="28"/>
      <c r="J14" s="28"/>
    </row>
    <row r="16" spans="2:10" x14ac:dyDescent="0.3">
      <c r="B16" s="28" t="s">
        <v>161</v>
      </c>
      <c r="C16" s="28"/>
      <c r="D16" s="28"/>
      <c r="E16" s="28"/>
      <c r="F16" s="28"/>
      <c r="G16" s="28"/>
      <c r="H16" s="28"/>
      <c r="I16" s="28"/>
      <c r="J16" s="28"/>
    </row>
    <row r="17" spans="2:12" x14ac:dyDescent="0.3">
      <c r="B17" s="28"/>
      <c r="C17" s="28"/>
      <c r="D17" s="28"/>
      <c r="E17" s="28"/>
      <c r="F17" s="28"/>
      <c r="G17" s="28"/>
      <c r="H17" s="28"/>
      <c r="I17" s="28"/>
      <c r="J17" s="28"/>
    </row>
    <row r="18" spans="2:12" x14ac:dyDescent="0.3">
      <c r="B18" s="28"/>
      <c r="C18" s="28"/>
      <c r="D18" s="28"/>
      <c r="E18" s="28"/>
      <c r="F18" s="28"/>
      <c r="G18" s="28"/>
      <c r="H18" s="28"/>
      <c r="I18" s="28"/>
      <c r="J18" s="28"/>
    </row>
    <row r="19" spans="2:12" x14ac:dyDescent="0.3">
      <c r="B19" s="28"/>
      <c r="C19" s="28"/>
      <c r="D19" s="28"/>
      <c r="E19" s="28"/>
      <c r="F19" s="28"/>
      <c r="G19" s="28"/>
      <c r="H19" s="28"/>
      <c r="I19" s="28"/>
      <c r="J19" s="28"/>
    </row>
    <row r="21" spans="2:12" x14ac:dyDescent="0.3">
      <c r="B21" t="s">
        <v>165</v>
      </c>
    </row>
    <row r="24" spans="2:12" x14ac:dyDescent="0.3">
      <c r="H24" s="27" t="s">
        <v>166</v>
      </c>
    </row>
    <row r="26" spans="2:12" ht="15" customHeight="1" x14ac:dyDescent="0.3">
      <c r="H26" s="35" t="s">
        <v>167</v>
      </c>
      <c r="I26" s="35"/>
      <c r="J26" s="35"/>
      <c r="K26" s="35"/>
      <c r="L26" s="35"/>
    </row>
    <row r="27" spans="2:12" x14ac:dyDescent="0.3">
      <c r="H27" s="35"/>
      <c r="I27" s="35"/>
      <c r="J27" s="35"/>
      <c r="K27" s="35"/>
      <c r="L27" s="35"/>
    </row>
    <row r="28" spans="2:12" x14ac:dyDescent="0.3">
      <c r="H28" s="35"/>
      <c r="I28" s="35"/>
      <c r="J28" s="35"/>
      <c r="K28" s="35"/>
      <c r="L28" s="35"/>
    </row>
    <row r="29" spans="2:12" x14ac:dyDescent="0.3">
      <c r="H29" s="35"/>
      <c r="I29" s="35"/>
      <c r="J29" s="35"/>
      <c r="K29" s="35"/>
      <c r="L29" s="35"/>
    </row>
    <row r="30" spans="2:12" x14ac:dyDescent="0.3">
      <c r="H30" s="35"/>
      <c r="I30" s="35"/>
      <c r="J30" s="35"/>
      <c r="K30" s="35"/>
      <c r="L30" s="35"/>
    </row>
    <row r="31" spans="2:12" x14ac:dyDescent="0.3">
      <c r="H31" t="s">
        <v>168</v>
      </c>
    </row>
    <row r="33" spans="2:8" x14ac:dyDescent="0.3">
      <c r="H33" t="s">
        <v>169</v>
      </c>
    </row>
    <row r="35" spans="2:8" x14ac:dyDescent="0.3">
      <c r="H35" t="s">
        <v>170</v>
      </c>
    </row>
    <row r="44" spans="2:8" ht="23.4" x14ac:dyDescent="0.45">
      <c r="B44" s="36" t="s">
        <v>171</v>
      </c>
      <c r="C44" s="36"/>
      <c r="D44" s="36"/>
    </row>
    <row r="46" spans="2:8" x14ac:dyDescent="0.3">
      <c r="B46" s="34" t="s">
        <v>172</v>
      </c>
      <c r="C46" s="34"/>
      <c r="D46" s="34"/>
      <c r="E46" s="34"/>
    </row>
    <row r="47" spans="2:8" x14ac:dyDescent="0.3">
      <c r="B47" s="34" t="s">
        <v>173</v>
      </c>
      <c r="C47" s="34"/>
      <c r="D47" s="34"/>
      <c r="E47" s="34"/>
    </row>
  </sheetData>
  <mergeCells count="7">
    <mergeCell ref="B46:E46"/>
    <mergeCell ref="B47:E47"/>
    <mergeCell ref="B16:J19"/>
    <mergeCell ref="H26:L30"/>
    <mergeCell ref="B4:J9"/>
    <mergeCell ref="B11:J14"/>
    <mergeCell ref="B44:D44"/>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workbookViewId="0">
      <selection activeCell="D1" sqref="D1"/>
    </sheetView>
  </sheetViews>
  <sheetFormatPr defaultRowHeight="14.4" x14ac:dyDescent="0.3"/>
  <cols>
    <col min="1" max="1" width="19.33203125" customWidth="1"/>
  </cols>
  <sheetData>
    <row r="1" spans="1:4" x14ac:dyDescent="0.3">
      <c r="A1" t="str">
        <f>ConductivityParameters!A2</f>
        <v>Aluminum_1100</v>
      </c>
      <c r="B1" t="str">
        <f>ConductivityParameters!B2</f>
        <v>Nppoly</v>
      </c>
      <c r="C1">
        <f>ConductivityParameters!D2</f>
        <v>1.0609999999999999</v>
      </c>
      <c r="D1" cm="1">
        <f t="array" ref="D1">Conductivity(A1,C1)</f>
        <v>11.465806983306752</v>
      </c>
    </row>
    <row r="2" spans="1:4" x14ac:dyDescent="0.3">
      <c r="A2" t="str">
        <f>ConductivityParameters!A3</f>
        <v>Aluminum_3003F</v>
      </c>
      <c r="B2" t="str">
        <f>ConductivityParameters!B3</f>
        <v>polylog</v>
      </c>
      <c r="C2">
        <f>ConductivityParameters!D3</f>
        <v>300</v>
      </c>
      <c r="D2" cm="1">
        <f t="array" ref="D2">Conductivity(A2,C2)</f>
        <v>177.76986402789362</v>
      </c>
    </row>
    <row r="3" spans="1:4" x14ac:dyDescent="0.3">
      <c r="A3" t="str">
        <f>ConductivityParameters!A4</f>
        <v>Aluminum_5083O</v>
      </c>
      <c r="B3" t="str">
        <f>ConductivityParameters!B4</f>
        <v>polylog</v>
      </c>
      <c r="C3">
        <f>ConductivityParameters!D4</f>
        <v>300</v>
      </c>
      <c r="D3" cm="1">
        <f t="array" ref="D3">Conductivity(A3,C3)</f>
        <v>119.28046380271637</v>
      </c>
    </row>
    <row r="4" spans="1:4" x14ac:dyDescent="0.3">
      <c r="A4" t="str">
        <f>ConductivityParameters!A5</f>
        <v>Aluminum_6061T6</v>
      </c>
      <c r="B4" t="str">
        <f>ConductivityParameters!B5</f>
        <v>polylog</v>
      </c>
      <c r="C4">
        <f>ConductivityParameters!D5</f>
        <v>300</v>
      </c>
      <c r="D4" cm="1">
        <f t="array" ref="D4">Conductivity(A4,C4)</f>
        <v>155.31878979363279</v>
      </c>
    </row>
    <row r="5" spans="1:4" x14ac:dyDescent="0.3">
      <c r="A5" t="str">
        <f>ConductivityParameters!A6</f>
        <v>Aluminum_6063T5</v>
      </c>
      <c r="B5" t="str">
        <f>ConductivityParameters!B6</f>
        <v>polylog</v>
      </c>
      <c r="C5">
        <f>ConductivityParameters!D6</f>
        <v>296</v>
      </c>
      <c r="D5" cm="1">
        <f t="array" ref="D5">Conductivity(A5,C5)</f>
        <v>261.25080515997774</v>
      </c>
    </row>
    <row r="6" spans="1:4" x14ac:dyDescent="0.3">
      <c r="A6" t="str">
        <f>ConductivityParameters!A7</f>
        <v>Beryllium_Copper</v>
      </c>
      <c r="B6" t="str">
        <f>ConductivityParameters!B7</f>
        <v>polylog</v>
      </c>
      <c r="C6">
        <f>ConductivityParameters!D7</f>
        <v>80</v>
      </c>
      <c r="D6" cm="1">
        <f t="array" ref="D6">Conductivity(A6,C6)</f>
        <v>37.145987501035599</v>
      </c>
    </row>
    <row r="7" spans="1:4" x14ac:dyDescent="0.3">
      <c r="A7" t="str">
        <f>ConductivityParameters!A8</f>
        <v>Brass</v>
      </c>
      <c r="B7" t="str">
        <f>ConductivityParameters!B8</f>
        <v>polylog</v>
      </c>
      <c r="C7">
        <f>ConductivityParameters!D8</f>
        <v>116</v>
      </c>
      <c r="D7" cm="1">
        <f t="array" ref="D7">Conductivity(A7,C7)</f>
        <v>52.557132727957608</v>
      </c>
    </row>
    <row r="8" spans="1:4" x14ac:dyDescent="0.3">
      <c r="A8" t="str">
        <f>ConductivityParameters!A9</f>
        <v>CFRP</v>
      </c>
      <c r="B8" t="str">
        <f>ConductivityParameters!B9</f>
        <v>Nppoly</v>
      </c>
      <c r="C8">
        <f>ConductivityParameters!D9</f>
        <v>4.8419999999999996</v>
      </c>
      <c r="D8" cm="1">
        <f t="array" ref="D8">Conductivity(A8,C8)</f>
        <v>3.2374711086275265E-2</v>
      </c>
    </row>
    <row r="9" spans="1:4" x14ac:dyDescent="0.3">
      <c r="A9" t="str">
        <f>ConductivityParameters!A10</f>
        <v>CFRP_Clearwater</v>
      </c>
      <c r="B9" t="str">
        <f>ConductivityParameters!B10</f>
        <v>Nppoly</v>
      </c>
      <c r="C9">
        <f>ConductivityParameters!D10</f>
        <v>4.8419999999999996</v>
      </c>
      <c r="D9" cm="1">
        <f t="array" ref="D9">Conductivity(A9,C9)</f>
        <v>3.4204563243920627E-2</v>
      </c>
    </row>
    <row r="10" spans="1:4" x14ac:dyDescent="0.3">
      <c r="A10" t="str">
        <f>ConductivityParameters!A11</f>
        <v>CFRP_DPP</v>
      </c>
      <c r="B10" t="str">
        <f>ConductivityParameters!B11</f>
        <v>Nppoly</v>
      </c>
      <c r="C10">
        <f>ConductivityParameters!D11</f>
        <v>4.0199999999999996</v>
      </c>
      <c r="D10" cm="1">
        <f t="array" ref="D10">Conductivity(A10,C10)</f>
        <v>1.6635926370550572E-2</v>
      </c>
    </row>
    <row r="11" spans="1:4" x14ac:dyDescent="0.3">
      <c r="A11" t="str">
        <f>ConductivityParameters!A12</f>
        <v>CFRP_Graphlite</v>
      </c>
      <c r="B11" t="str">
        <f>ConductivityParameters!B12</f>
        <v>Nppoly</v>
      </c>
      <c r="C11">
        <f>ConductivityParameters!D12</f>
        <v>4.0149999999999997</v>
      </c>
      <c r="D11" cm="1">
        <f t="array" ref="D11">Conductivity(A11,C11)</f>
        <v>2.7266161312609921E-2</v>
      </c>
    </row>
    <row r="12" spans="1:4" x14ac:dyDescent="0.3">
      <c r="A12" t="str">
        <f>ConductivityParameters!A13</f>
        <v>Constantan_lo</v>
      </c>
      <c r="B12" t="str">
        <f>ConductivityParameters!B13</f>
        <v>Nppoly</v>
      </c>
      <c r="C12">
        <f>ConductivityParameters!D13</f>
        <v>96.8</v>
      </c>
      <c r="D12" cm="1">
        <f t="array" ref="D12">Conductivity(A12,C12)</f>
        <v>9.5379864391679892E-2</v>
      </c>
    </row>
    <row r="13" spans="1:4" x14ac:dyDescent="0.3">
      <c r="A13" t="str">
        <f>ConductivityParameters!A14</f>
        <v>Constantan_hi</v>
      </c>
      <c r="B13" t="str">
        <f>ConductivityParameters!B14</f>
        <v>polylog</v>
      </c>
      <c r="C13">
        <f>ConductivityParameters!D14</f>
        <v>1070</v>
      </c>
      <c r="D13" cm="1">
        <f t="array" ref="D13">Conductivity(A13,C13)</f>
        <v>9.4720970914897909E-4</v>
      </c>
    </row>
    <row r="14" spans="1:4" x14ac:dyDescent="0.3">
      <c r="A14" t="str">
        <f>ConductivityParameters!A15</f>
        <v>Cu_OFHC</v>
      </c>
      <c r="B14" t="str">
        <f>ConductivityParameters!B15</f>
        <v>polylog</v>
      </c>
      <c r="C14">
        <f>ConductivityParameters!D15</f>
        <v>325</v>
      </c>
      <c r="D14" cm="1">
        <f t="array" ref="D14">Conductivity(A14,C14)</f>
        <v>0</v>
      </c>
    </row>
    <row r="15" spans="1:4" x14ac:dyDescent="0.3">
      <c r="A15" t="str">
        <f>ConductivityParameters!A16</f>
        <v>Cu_OFHC_RRR100</v>
      </c>
      <c r="B15" t="str">
        <f>ConductivityParameters!B16</f>
        <v>NIST-copperfit</v>
      </c>
      <c r="C15">
        <f>ConductivityParameters!D16</f>
        <v>300</v>
      </c>
      <c r="D15" cm="1">
        <f t="array" ref="D15">Conductivity(A15,C15)</f>
        <v>396.32395901501258</v>
      </c>
    </row>
    <row r="16" spans="1:4" x14ac:dyDescent="0.3">
      <c r="A16" t="str">
        <f>ConductivityParameters!A17</f>
        <v>Cu_OFHC_RRR150</v>
      </c>
      <c r="B16" t="str">
        <f>ConductivityParameters!B17</f>
        <v>NIST-copperfit</v>
      </c>
      <c r="C16">
        <f>ConductivityParameters!D17</f>
        <v>300</v>
      </c>
      <c r="D16" cm="1">
        <f t="array" ref="D16">Conductivity(A16,C16)</f>
        <v>397.64131812085549</v>
      </c>
    </row>
    <row r="17" spans="1:4" x14ac:dyDescent="0.3">
      <c r="A17" t="str">
        <f>ConductivityParameters!A18</f>
        <v>Cu_OFHC_RRR300</v>
      </c>
      <c r="B17" t="str">
        <f>ConductivityParameters!B18</f>
        <v>NIST-copperfit</v>
      </c>
      <c r="C17">
        <f>ConductivityParameters!D18</f>
        <v>300</v>
      </c>
      <c r="D17" t="e" cm="1">
        <f t="array" ref="D17">Conductivity(A17,C17)</f>
        <v>#VALUE!</v>
      </c>
    </row>
    <row r="18" spans="1:4" x14ac:dyDescent="0.3">
      <c r="A18" t="str">
        <f>ConductivityParameters!A19</f>
        <v>Cu_OFHC_RRR50</v>
      </c>
      <c r="B18" t="str">
        <f>ConductivityParameters!B19</f>
        <v>NIST-copperfit</v>
      </c>
      <c r="C18">
        <f>ConductivityParameters!D19</f>
        <v>300</v>
      </c>
      <c r="D18" cm="1">
        <f t="array" ref="D18">Conductivity(A18,C18)</f>
        <v>392.36824486828715</v>
      </c>
    </row>
    <row r="19" spans="1:4" x14ac:dyDescent="0.3">
      <c r="A19" t="str">
        <f>ConductivityParameters!A20</f>
        <v>Cu_OFHC_RRR500</v>
      </c>
      <c r="B19" t="str">
        <f>ConductivityParameters!B20</f>
        <v>NIST-copperfit</v>
      </c>
      <c r="C19">
        <f>ConductivityParameters!D20</f>
        <v>300</v>
      </c>
      <c r="D19" cm="1">
        <f t="array" ref="D19">Conductivity(A19,C19)</f>
        <v>401.1873558275264</v>
      </c>
    </row>
    <row r="20" spans="1:4" x14ac:dyDescent="0.3">
      <c r="A20" t="str">
        <f>ConductivityParameters!A21</f>
        <v>G10_CR_Normal</v>
      </c>
      <c r="B20" t="str">
        <f>ConductivityParameters!B21</f>
        <v>polylog</v>
      </c>
      <c r="C20">
        <f>ConductivityParameters!D21</f>
        <v>300</v>
      </c>
      <c r="D20" cm="1">
        <f t="array" ref="D20">Conductivity(A20,C20)</f>
        <v>0.60798275473108543</v>
      </c>
    </row>
    <row r="21" spans="1:4" x14ac:dyDescent="0.3">
      <c r="A21" t="str">
        <f>ConductivityParameters!A22</f>
        <v>G10_CR_Warp</v>
      </c>
      <c r="B21" t="str">
        <f>ConductivityParameters!B22</f>
        <v>polylog</v>
      </c>
      <c r="C21">
        <f>ConductivityParameters!D22</f>
        <v>300</v>
      </c>
      <c r="D21" cm="1">
        <f t="array" ref="D21">Conductivity(A21,C21)</f>
        <v>0.86363784173592995</v>
      </c>
    </row>
    <row r="22" spans="1:4" x14ac:dyDescent="0.3">
      <c r="A22" t="str">
        <f>ConductivityParameters!A23</f>
        <v>G10_FR4</v>
      </c>
      <c r="B22" t="str">
        <f>ConductivityParameters!B23</f>
        <v>Nppoly</v>
      </c>
      <c r="C22">
        <f>ConductivityParameters!D23</f>
        <v>2.9710000000000001</v>
      </c>
      <c r="D22" cm="1">
        <f t="array" ref="D22">Conductivity(A22,C22)</f>
        <v>4.8710240504066901E-2</v>
      </c>
    </row>
    <row r="23" spans="1:4" x14ac:dyDescent="0.3">
      <c r="A23" t="str">
        <f>ConductivityParameters!A24</f>
        <v>Glass_FabricPolyester_He_warp</v>
      </c>
      <c r="B23" t="str">
        <f>ConductivityParameters!B24</f>
        <v>polylog</v>
      </c>
      <c r="C23">
        <f>ConductivityParameters!D24</f>
        <v>300</v>
      </c>
      <c r="D23" cm="1">
        <f t="array" ref="D23">Conductivity(A23,C23)</f>
        <v>0.23819944841834428</v>
      </c>
    </row>
    <row r="24" spans="1:4" x14ac:dyDescent="0.3">
      <c r="A24" t="str">
        <f>ConductivityParameters!A25</f>
        <v>Glass_FabricPolyester_Ni_normal</v>
      </c>
      <c r="B24" t="str">
        <f>ConductivityParameters!B25</f>
        <v>polylog</v>
      </c>
      <c r="C24">
        <f>ConductivityParameters!D25</f>
        <v>300</v>
      </c>
      <c r="D24" cm="1">
        <f t="array" ref="D24">Conductivity(A24,C24)</f>
        <v>0.38059102912363524</v>
      </c>
    </row>
    <row r="25" spans="1:4" x14ac:dyDescent="0.3">
      <c r="A25" t="str">
        <f>ConductivityParameters!A26</f>
        <v>Glass_FabricPolyester_Ni_warp</v>
      </c>
      <c r="B25" t="str">
        <f>ConductivityParameters!B26</f>
        <v>polylog</v>
      </c>
      <c r="C25">
        <f>ConductivityParameters!D26</f>
        <v>300</v>
      </c>
      <c r="D25" cm="1">
        <f t="array" ref="D25">Conductivity(A25,C25)</f>
        <v>0.45489672372344059</v>
      </c>
    </row>
    <row r="26" spans="1:4" x14ac:dyDescent="0.3">
      <c r="A26" t="str">
        <f>ConductivityParameters!A27</f>
        <v>Graphite</v>
      </c>
      <c r="B26" t="str">
        <f>ConductivityParameters!B27</f>
        <v>lowTextrapolate</v>
      </c>
      <c r="C26">
        <f>ConductivityParameters!D27</f>
        <v>1</v>
      </c>
      <c r="D26" t="e" cm="1">
        <f t="array" ref="D26">Conductivity(A26,C26)</f>
        <v>#VALUE!</v>
      </c>
    </row>
    <row r="27" spans="1:4" x14ac:dyDescent="0.3">
      <c r="A27" t="str">
        <f>ConductivityParameters!A28</f>
        <v>Graphite_a</v>
      </c>
      <c r="B27" t="str">
        <f>ConductivityParameters!B28</f>
        <v>polylog</v>
      </c>
      <c r="C27">
        <f>ConductivityParameters!D28</f>
        <v>4.22</v>
      </c>
      <c r="D27" cm="1">
        <f t="array" ref="D27">Conductivity(A27,C27)</f>
        <v>3.682042722999504E-2</v>
      </c>
    </row>
    <row r="28" spans="1:4" x14ac:dyDescent="0.3">
      <c r="A28" t="str">
        <f>ConductivityParameters!A29</f>
        <v>Graphite_brad</v>
      </c>
      <c r="B28" t="str">
        <f>ConductivityParameters!B29</f>
        <v>lowTextrapolate</v>
      </c>
      <c r="C28">
        <f>ConductivityParameters!D29</f>
        <v>5</v>
      </c>
      <c r="D28" t="e" cm="1">
        <f t="array" ref="D28">Conductivity(A28,C28)</f>
        <v>#VALUE!</v>
      </c>
    </row>
    <row r="29" spans="1:4" x14ac:dyDescent="0.3">
      <c r="A29" t="str">
        <f>ConductivityParameters!A30</f>
        <v>Graphite_p</v>
      </c>
      <c r="B29" t="str">
        <f>ConductivityParameters!B30</f>
        <v>polylog</v>
      </c>
      <c r="C29">
        <f>ConductivityParameters!D30</f>
        <v>4.22</v>
      </c>
      <c r="D29" cm="1">
        <f t="array" ref="D29">Conductivity(A29,C29)</f>
        <v>3.7071098184832507E-2</v>
      </c>
    </row>
    <row r="30" spans="1:4" x14ac:dyDescent="0.3">
      <c r="A30" t="str">
        <f>ConductivityParameters!A31</f>
        <v>Inconel_718</v>
      </c>
      <c r="B30" t="str">
        <f>ConductivityParameters!B31</f>
        <v>polylog</v>
      </c>
      <c r="C30">
        <f>ConductivityParameters!D31</f>
        <v>275</v>
      </c>
      <c r="D30" cm="1">
        <f t="array" ref="D30">Conductivity(A30,C30)</f>
        <v>9.4681484371773941</v>
      </c>
    </row>
    <row r="31" spans="1:4" x14ac:dyDescent="0.3">
      <c r="A31" t="str">
        <f>ConductivityParameters!A32</f>
        <v>Invar_Fe36Ni</v>
      </c>
      <c r="B31" t="str">
        <f>ConductivityParameters!B32</f>
        <v>polylog</v>
      </c>
      <c r="C31">
        <f>ConductivityParameters!D32</f>
        <v>300</v>
      </c>
      <c r="D31" cm="1">
        <f t="array" ref="D31">Conductivity(A31,C31)</f>
        <v>13.834885987593504</v>
      </c>
    </row>
    <row r="32" spans="1:4" x14ac:dyDescent="0.3">
      <c r="A32" t="str">
        <f>ConductivityParameters!A33</f>
        <v>Kapton</v>
      </c>
      <c r="B32" t="str">
        <f>ConductivityParameters!B33</f>
        <v>comppoly</v>
      </c>
      <c r="C32">
        <f>ConductivityParameters!D33</f>
        <v>307</v>
      </c>
      <c r="D32" cm="1">
        <f t="array" ref="D32">Conductivity(A32,C32)</f>
        <v>167.89801281789093</v>
      </c>
    </row>
    <row r="33" spans="1:4" x14ac:dyDescent="0.3">
      <c r="A33" t="str">
        <f>ConductivityParameters!A34</f>
        <v>Kaptona</v>
      </c>
      <c r="B33" t="str">
        <f>ConductivityParameters!B34</f>
        <v>polylog</v>
      </c>
      <c r="C33">
        <f>ConductivityParameters!D34</f>
        <v>300</v>
      </c>
      <c r="D33" cm="1">
        <f t="array" ref="D33">Conductivity(A33,C33)</f>
        <v>0.19187175883365865</v>
      </c>
    </row>
    <row r="34" spans="1:4" x14ac:dyDescent="0.3">
      <c r="A34" t="str">
        <f>ConductivityParameters!A35</f>
        <v>Ketron</v>
      </c>
      <c r="B34" t="str">
        <f>ConductivityParameters!B35</f>
        <v>Nppoly</v>
      </c>
      <c r="C34">
        <f>ConductivityParameters!D35</f>
        <v>2.851</v>
      </c>
      <c r="D34" cm="1">
        <f t="array" ref="D34">Conductivity(A34,C34)</f>
        <v>9.174536897841562E-3</v>
      </c>
    </row>
    <row r="35" spans="1:4" x14ac:dyDescent="0.3">
      <c r="A35" t="str">
        <f>ConductivityParameters!A36</f>
        <v>Kevlar49_Composite_Aramid</v>
      </c>
      <c r="B35" t="str">
        <f>ConductivityParameters!B36</f>
        <v>NIST-experf</v>
      </c>
      <c r="C35">
        <f>ConductivityParameters!D36</f>
        <v>302</v>
      </c>
      <c r="D35" cm="1">
        <f t="array" ref="D35">Conductivity(A35,C35)</f>
        <v>0</v>
      </c>
    </row>
    <row r="36" spans="1:4" x14ac:dyDescent="0.3">
      <c r="A36" t="str">
        <f>ConductivityParameters!A37</f>
        <v>Kevlar49_Fiber_Aramid</v>
      </c>
      <c r="B36" t="str">
        <f>ConductivityParameters!B37</f>
        <v>NIST-experf</v>
      </c>
      <c r="C36">
        <f>ConductivityParameters!D37</f>
        <v>291</v>
      </c>
      <c r="D36" cm="1">
        <f t="array" ref="D36">Conductivity(A36,C36)</f>
        <v>0</v>
      </c>
    </row>
    <row r="37" spans="1:4" x14ac:dyDescent="0.3">
      <c r="A37" t="str">
        <f>ConductivityParameters!A38</f>
        <v>Lead</v>
      </c>
      <c r="B37" t="str">
        <f>ConductivityParameters!B38</f>
        <v>polylog</v>
      </c>
      <c r="C37">
        <f>ConductivityParameters!D38</f>
        <v>296</v>
      </c>
      <c r="D37" cm="1">
        <f t="array" ref="D37">Conductivity(A37,C37)</f>
        <v>33.35039377243465</v>
      </c>
    </row>
    <row r="38" spans="1:4" x14ac:dyDescent="0.3">
      <c r="A38" t="str">
        <f>ConductivityParameters!A39</f>
        <v>Macor</v>
      </c>
      <c r="B38" t="str">
        <f>ConductivityParameters!B39</f>
        <v>Nppoly</v>
      </c>
      <c r="C38">
        <f>ConductivityParameters!D39</f>
        <v>3.2130000000000001</v>
      </c>
      <c r="D38" cm="1">
        <f t="array" ref="D38">Conductivity(A38,C38)</f>
        <v>5.1897040387452339E-2</v>
      </c>
    </row>
    <row r="39" spans="1:4" x14ac:dyDescent="0.3">
      <c r="A39" t="str">
        <f>ConductivityParameters!A40</f>
        <v>Manganin</v>
      </c>
      <c r="B39" t="str">
        <f>ConductivityParameters!B40</f>
        <v>comppoly</v>
      </c>
      <c r="C39">
        <f>ConductivityParameters!D40</f>
        <v>1180</v>
      </c>
      <c r="D39" cm="1">
        <f t="array" ref="D39">Conductivity(A39,C39)</f>
        <v>66.245436597889594</v>
      </c>
    </row>
    <row r="40" spans="1:4" x14ac:dyDescent="0.3">
      <c r="A40" t="str">
        <f>ConductivityParameters!A41</f>
        <v>Molybdenum</v>
      </c>
      <c r="B40" t="str">
        <f>ConductivityParameters!B41</f>
        <v>polylog</v>
      </c>
      <c r="C40">
        <f>ConductivityParameters!D41</f>
        <v>373</v>
      </c>
      <c r="D40" cm="1">
        <f t="array" ref="D40">Conductivity(A40,C40)</f>
        <v>125.56305370079269</v>
      </c>
    </row>
    <row r="41" spans="1:4" x14ac:dyDescent="0.3">
      <c r="A41" t="str">
        <f>ConductivityParameters!A42</f>
        <v>MylarPET</v>
      </c>
      <c r="B41" t="str">
        <f>ConductivityParameters!B42</f>
        <v>polylog</v>
      </c>
      <c r="C41">
        <f>ConductivityParameters!D42</f>
        <v>83</v>
      </c>
      <c r="D41" cm="1">
        <f t="array" ref="D41">Conductivity(A41,C41)</f>
        <v>0.15715085322572617</v>
      </c>
    </row>
    <row r="42" spans="1:4" x14ac:dyDescent="0.3">
      <c r="A42" t="str">
        <f>ConductivityParameters!A43</f>
        <v>NbTi</v>
      </c>
      <c r="B42" t="str">
        <f>ConductivityParameters!B43</f>
        <v>polylog</v>
      </c>
      <c r="C42">
        <f>ConductivityParameters!D43</f>
        <v>9.2319999999999993</v>
      </c>
      <c r="D42" cm="1">
        <f t="array" ref="D42">Conductivity(A42,C42)</f>
        <v>0.58464175126059403</v>
      </c>
    </row>
    <row r="43" spans="1:4" x14ac:dyDescent="0.3">
      <c r="A43" t="str">
        <f>ConductivityParameters!A44</f>
        <v>Nichrome</v>
      </c>
      <c r="B43" t="str">
        <f>ConductivityParameters!B44</f>
        <v>polylog</v>
      </c>
      <c r="C43">
        <f>ConductivityParameters!D44</f>
        <v>300</v>
      </c>
      <c r="D43" cm="1">
        <f t="array" ref="D43">Conductivity(A43,C43)</f>
        <v>11.385106384743791</v>
      </c>
    </row>
    <row r="44" spans="1:4" x14ac:dyDescent="0.3">
      <c r="A44" t="str">
        <f>ConductivityParameters!A45</f>
        <v>Nickel_Steel_Fe_2.25_Ni</v>
      </c>
      <c r="B44" t="str">
        <f>ConductivityParameters!B45</f>
        <v>polylog</v>
      </c>
      <c r="C44">
        <f>ConductivityParameters!D45</f>
        <v>300</v>
      </c>
      <c r="D44" cm="1">
        <f t="array" ref="D44">Conductivity(A44,C44)</f>
        <v>39.167235418291718</v>
      </c>
    </row>
    <row r="45" spans="1:4" x14ac:dyDescent="0.3">
      <c r="A45" t="str">
        <f>ConductivityParameters!A46</f>
        <v>Nickel_Steel_Fe_3.25_Ni</v>
      </c>
      <c r="B45" t="str">
        <f>ConductivityParameters!B46</f>
        <v>polylog</v>
      </c>
      <c r="C45">
        <f>ConductivityParameters!D46</f>
        <v>300</v>
      </c>
      <c r="D45" cm="1">
        <f t="array" ref="D45">Conductivity(A45,C45)</f>
        <v>34.426949953161014</v>
      </c>
    </row>
    <row r="46" spans="1:4" x14ac:dyDescent="0.3">
      <c r="A46" t="str">
        <f>ConductivityParameters!A47</f>
        <v>Nickel_Steel_Fe_5.0_Ni</v>
      </c>
      <c r="B46" t="str">
        <f>ConductivityParameters!B47</f>
        <v>polylog</v>
      </c>
      <c r="C46">
        <f>ConductivityParameters!D47</f>
        <v>300</v>
      </c>
      <c r="D46" cm="1">
        <f t="array" ref="D46">Conductivity(A46,C46)</f>
        <v>31.315331265904671</v>
      </c>
    </row>
    <row r="47" spans="1:4" x14ac:dyDescent="0.3">
      <c r="A47" t="str">
        <f>ConductivityParameters!A48</f>
        <v>Nickel_Steel_Fe_9.0_Ni</v>
      </c>
      <c r="B47" t="str">
        <f>ConductivityParameters!B48</f>
        <v>polylog</v>
      </c>
      <c r="C47">
        <f>ConductivityParameters!D48</f>
        <v>300</v>
      </c>
      <c r="D47" cm="1">
        <f t="array" ref="D47">Conductivity(A47,C47)</f>
        <v>27.826606815049125</v>
      </c>
    </row>
    <row r="48" spans="1:4" x14ac:dyDescent="0.3">
      <c r="A48" t="str">
        <f>ConductivityParameters!A49</f>
        <v>Nylon</v>
      </c>
      <c r="B48" t="str">
        <f>ConductivityParameters!B49</f>
        <v>polylog</v>
      </c>
      <c r="C48">
        <f>ConductivityParameters!D49</f>
        <v>300</v>
      </c>
      <c r="D48" cm="1">
        <f t="array" ref="D48">Conductivity(A48,C48)</f>
        <v>0.33683654775344746</v>
      </c>
    </row>
    <row r="49" spans="1:4" x14ac:dyDescent="0.3">
      <c r="A49" t="str">
        <f>ConductivityParameters!A50</f>
        <v>Phosphorbronze</v>
      </c>
      <c r="B49" t="str">
        <f>ConductivityParameters!B50</f>
        <v>comppoly</v>
      </c>
      <c r="C49">
        <f>ConductivityParameters!D50</f>
        <v>448</v>
      </c>
      <c r="D49" cm="1">
        <f t="array" ref="D49">Conductivity(A49,C49)</f>
        <v>77.788757984848672</v>
      </c>
    </row>
    <row r="50" spans="1:4" x14ac:dyDescent="0.3">
      <c r="A50" t="str">
        <f>ConductivityParameters!A51</f>
        <v>Platinum</v>
      </c>
      <c r="B50" t="str">
        <f>ConductivityParameters!B51</f>
        <v>polylog</v>
      </c>
      <c r="C50">
        <f>ConductivityParameters!D51</f>
        <v>298</v>
      </c>
      <c r="D50" cm="1">
        <f t="array" ref="D50">Conductivity(A50,C50)</f>
        <v>92.753426802203236</v>
      </c>
    </row>
    <row r="51" spans="1:4" x14ac:dyDescent="0.3">
      <c r="A51" t="str">
        <f>ConductivityParameters!A52</f>
        <v>Polystyrene_1.99_lbft3_Freon</v>
      </c>
      <c r="B51" t="str">
        <f>ConductivityParameters!B52</f>
        <v>polylog</v>
      </c>
      <c r="C51">
        <f>ConductivityParameters!D52</f>
        <v>300</v>
      </c>
      <c r="D51" cm="1">
        <f t="array" ref="D51">Conductivity(A51,C51)</f>
        <v>5.0919395148383888E-2</v>
      </c>
    </row>
    <row r="52" spans="1:4" x14ac:dyDescent="0.3">
      <c r="A52" t="str">
        <f>ConductivityParameters!A53</f>
        <v>Polystyrene_2.0_lbft3</v>
      </c>
      <c r="B52" t="str">
        <f>ConductivityParameters!B53</f>
        <v>polylog</v>
      </c>
      <c r="C52">
        <f>ConductivityParameters!D53</f>
        <v>300</v>
      </c>
      <c r="D52" cm="1">
        <f t="array" ref="D52">Conductivity(A52,C52)</f>
        <v>7.2721558740129463E-2</v>
      </c>
    </row>
    <row r="53" spans="1:4" x14ac:dyDescent="0.3">
      <c r="A53" t="str">
        <f>ConductivityParameters!A54</f>
        <v>Polystyrene_3.12_lbft3</v>
      </c>
      <c r="B53" t="str">
        <f>ConductivityParameters!B54</f>
        <v>polylog</v>
      </c>
      <c r="C53">
        <f>ConductivityParameters!D54</f>
        <v>300</v>
      </c>
      <c r="D53" cm="1">
        <f t="array" ref="D53">Conductivity(A53,C53)</f>
        <v>0</v>
      </c>
    </row>
    <row r="54" spans="1:4" x14ac:dyDescent="0.3">
      <c r="A54" t="str">
        <f>ConductivityParameters!A55</f>
        <v>Polystyrene_6.24_lbft3</v>
      </c>
      <c r="B54" t="str">
        <f>ConductivityParameters!B55</f>
        <v>polylog</v>
      </c>
      <c r="C54">
        <f>ConductivityParameters!D55</f>
        <v>300</v>
      </c>
      <c r="D54" cm="1">
        <f t="array" ref="D54">Conductivity(A54,C54)</f>
        <v>4.1118894012750457E-2</v>
      </c>
    </row>
    <row r="55" spans="1:4" x14ac:dyDescent="0.3">
      <c r="A55" t="str">
        <f>ConductivityParameters!A56</f>
        <v>Polyurethane_1.99_lbft3_Freon</v>
      </c>
      <c r="B55" t="str">
        <f>ConductivityParameters!B56</f>
        <v>polylog</v>
      </c>
      <c r="C55">
        <f>ConductivityParameters!D56</f>
        <v>300</v>
      </c>
      <c r="D55" cm="1">
        <f t="array" ref="D55">Conductivity(A55,C55)</f>
        <v>1.1528987345506815E-2</v>
      </c>
    </row>
    <row r="56" spans="1:4" x14ac:dyDescent="0.3">
      <c r="A56" t="str">
        <f>ConductivityParameters!A57</f>
        <v>Polyurethane_2.0_lbft3_CO2</v>
      </c>
      <c r="B56" t="str">
        <f>ConductivityParameters!B57</f>
        <v>polylog</v>
      </c>
      <c r="C56">
        <f>ConductivityParameters!D57</f>
        <v>300</v>
      </c>
      <c r="D56" cm="1">
        <f t="array" ref="D56">Conductivity(A56,C56)</f>
        <v>2.6415455971176522E-2</v>
      </c>
    </row>
    <row r="57" spans="1:4" x14ac:dyDescent="0.3">
      <c r="A57" t="str">
        <f>ConductivityParameters!A58</f>
        <v>Polyurethane_3.06_lbft3_He</v>
      </c>
      <c r="B57" t="str">
        <f>ConductivityParameters!B58</f>
        <v>polylog</v>
      </c>
      <c r="C57">
        <f>ConductivityParameters!D58</f>
        <v>300</v>
      </c>
      <c r="D57" cm="1">
        <f t="array" ref="D57">Conductivity(A57,C57)</f>
        <v>3.5403673212086172E-2</v>
      </c>
    </row>
    <row r="58" spans="1:4" x14ac:dyDescent="0.3">
      <c r="A58" t="str">
        <f>ConductivityParameters!A59</f>
        <v>Polyurethane_4.00_lbft3_Freon</v>
      </c>
      <c r="B58" t="str">
        <f>ConductivityParameters!B59</f>
        <v>polylog</v>
      </c>
      <c r="C58">
        <f>ConductivityParameters!D59</f>
        <v>300</v>
      </c>
      <c r="D58" cm="1">
        <f t="array" ref="D58">Conductivity(A58,C58)</f>
        <v>5.2527300848918428E-2</v>
      </c>
    </row>
    <row r="59" spans="1:4" x14ac:dyDescent="0.3">
      <c r="A59" t="str">
        <f>ConductivityParameters!A60</f>
        <v>PVC_1.25_lbft3_air</v>
      </c>
      <c r="B59" t="str">
        <f>ConductivityParameters!B60</f>
        <v>polylog</v>
      </c>
      <c r="C59">
        <f>ConductivityParameters!D60</f>
        <v>300</v>
      </c>
      <c r="D59" cm="1">
        <f t="array" ref="D59">Conductivity(A59,C59)</f>
        <v>5.259756705737377E-2</v>
      </c>
    </row>
    <row r="60" spans="1:4" x14ac:dyDescent="0.3">
      <c r="A60" t="str">
        <f>ConductivityParameters!A61</f>
        <v>PVC_3.5_lbft3_CO2</v>
      </c>
      <c r="B60" t="str">
        <f>ConductivityParameters!B61</f>
        <v>polylog</v>
      </c>
      <c r="C60">
        <f>ConductivityParameters!D61</f>
        <v>300</v>
      </c>
      <c r="D60" cm="1">
        <f t="array" ref="D60">Conductivity(A60,C60)</f>
        <v>3.7226680136831732E-2</v>
      </c>
    </row>
    <row r="61" spans="1:4" x14ac:dyDescent="0.3">
      <c r="A61" t="str">
        <f>ConductivityParameters!A62</f>
        <v>Stainless_Steel</v>
      </c>
      <c r="B61" t="str">
        <f>ConductivityParameters!B62</f>
        <v>comppoly</v>
      </c>
      <c r="C61">
        <f>ConductivityParameters!D62</f>
        <v>1672</v>
      </c>
      <c r="D61" cm="1">
        <f t="array" ref="D61">Conductivity(A61,C61)</f>
        <v>34.717314433824619</v>
      </c>
    </row>
    <row r="62" spans="1:4" x14ac:dyDescent="0.3">
      <c r="A62" t="str">
        <f>ConductivityParameters!A63</f>
        <v>Stainless_Steel_304</v>
      </c>
      <c r="B62" t="str">
        <f>ConductivityParameters!B63</f>
        <v>comppoly</v>
      </c>
      <c r="C62">
        <f>ConductivityParameters!D63</f>
        <v>1672</v>
      </c>
      <c r="D62" cm="1">
        <f t="array" ref="D62">Conductivity(A62,C62)</f>
        <v>33.620989824078926</v>
      </c>
    </row>
    <row r="63" spans="1:4" x14ac:dyDescent="0.3">
      <c r="A63" t="str">
        <f>ConductivityParameters!A64</f>
        <v>Stainless_Steel_304L</v>
      </c>
      <c r="B63" t="str">
        <f>ConductivityParameters!B64</f>
        <v>polylog</v>
      </c>
      <c r="C63">
        <f>ConductivityParameters!D64</f>
        <v>300</v>
      </c>
      <c r="D63" cm="1">
        <f t="array" ref="D63">Conductivity(A63,C63)</f>
        <v>15.308653824347619</v>
      </c>
    </row>
    <row r="64" spans="1:4" x14ac:dyDescent="0.3">
      <c r="A64" t="str">
        <f>ConductivityParameters!A65</f>
        <v>Stainless_Steel_310_lo</v>
      </c>
      <c r="B64" t="str">
        <f>ConductivityParameters!B65</f>
        <v>Nppoly</v>
      </c>
      <c r="C64">
        <f>ConductivityParameters!D65</f>
        <v>1.67</v>
      </c>
      <c r="D64" cm="1">
        <f t="array" ref="D64">Conductivity(A64,C64)</f>
        <v>8.1103200402199982E-2</v>
      </c>
    </row>
    <row r="65" spans="1:4" x14ac:dyDescent="0.3">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3">
      <c r="A66" t="str">
        <f>ConductivityParameters!A67</f>
        <v>Stainless_Steel_316_lo</v>
      </c>
      <c r="B66" t="str">
        <f>ConductivityParameters!B67</f>
        <v>Nppoly</v>
      </c>
      <c r="C66">
        <f>ConductivityParameters!D67</f>
        <v>57.052</v>
      </c>
      <c r="D66" cm="1">
        <f t="array" ref="D66">Conductivity(A66,C66)</f>
        <v>7.4078198616139346E-2</v>
      </c>
    </row>
    <row r="67" spans="1:4" x14ac:dyDescent="0.3">
      <c r="A67" t="str">
        <f>ConductivityParameters!A68</f>
        <v>Stainless_Steel_316_hi</v>
      </c>
      <c r="B67" t="str">
        <f>ConductivityParameters!B68</f>
        <v>polylog</v>
      </c>
      <c r="C67">
        <f>ConductivityParameters!D68</f>
        <v>1670.15</v>
      </c>
      <c r="D67" cm="1">
        <f t="array" ref="D67">Conductivity(A67,C67)</f>
        <v>6.0263661361770477</v>
      </c>
    </row>
    <row r="68" spans="1:4" x14ac:dyDescent="0.3">
      <c r="A68" t="str">
        <f>ConductivityParameters!A69</f>
        <v>Stainless_Steel_321</v>
      </c>
      <c r="B68" t="str">
        <f>ConductivityParameters!B69</f>
        <v>comppoly</v>
      </c>
      <c r="C68">
        <f>ConductivityParameters!D69</f>
        <v>1623.194</v>
      </c>
      <c r="D68" cm="1">
        <f t="array" ref="D68">Conductivity(A68,C68)</f>
        <v>34.804614486488219</v>
      </c>
    </row>
    <row r="69" spans="1:4" x14ac:dyDescent="0.3">
      <c r="A69" t="str">
        <f>ConductivityParameters!A70</f>
        <v>Teflon</v>
      </c>
      <c r="B69" t="str">
        <f>ConductivityParameters!B70</f>
        <v>polylog</v>
      </c>
      <c r="C69">
        <f>ConductivityParameters!D70</f>
        <v>300</v>
      </c>
      <c r="D69" cm="1">
        <f t="array" ref="D69">Conductivity(A69,C69)</f>
        <v>0.27280248430272058</v>
      </c>
    </row>
    <row r="70" spans="1:4" x14ac:dyDescent="0.3">
      <c r="A70" t="str">
        <f>ConductivityParameters!A71</f>
        <v>Ti6Al4V</v>
      </c>
      <c r="B70" t="str">
        <f>ConductivityParameters!B71</f>
        <v>polylog</v>
      </c>
      <c r="C70">
        <f>ConductivityParameters!D71</f>
        <v>1173.1500000000001</v>
      </c>
      <c r="D70" cm="1">
        <f t="array" ref="D70">Conductivity(A70,C70)</f>
        <v>6.8575610502325448</v>
      </c>
    </row>
    <row r="71" spans="1:4" x14ac:dyDescent="0.3">
      <c r="A71" t="str">
        <f>ConductivityParameters!A72</f>
        <v>Titanium_15333</v>
      </c>
      <c r="B71" t="str">
        <f>ConductivityParameters!B72</f>
        <v>polylog</v>
      </c>
      <c r="C71">
        <f>ConductivityParameters!D72</f>
        <v>300</v>
      </c>
      <c r="D71" cm="1">
        <f t="array" ref="D71">Conductivity(A71,C71)</f>
        <v>5.8965268063369338</v>
      </c>
    </row>
    <row r="72" spans="1:4" x14ac:dyDescent="0.3">
      <c r="A72" t="str">
        <f>ConductivityParameters!A73</f>
        <v>Torlon</v>
      </c>
      <c r="B72" t="str">
        <f>ConductivityParameters!B73</f>
        <v>Nppoly</v>
      </c>
      <c r="C72">
        <f>ConductivityParameters!D73</f>
        <v>2.9769999999999999</v>
      </c>
      <c r="D72" cm="1">
        <f t="array" ref="D72">Conductivity(A72,C72)</f>
        <v>2.2814415160817017E-2</v>
      </c>
    </row>
    <row r="73" spans="1:4" x14ac:dyDescent="0.3">
      <c r="A73" t="str">
        <f>ConductivityParameters!A74</f>
        <v>VESPEL</v>
      </c>
      <c r="B73" t="str">
        <f>ConductivityParameters!B74</f>
        <v>Nppoly</v>
      </c>
      <c r="C73">
        <f>ConductivityParameters!D74</f>
        <v>3.032</v>
      </c>
      <c r="D73" cm="1">
        <f t="array" ref="D73">Conductivity(A73,C73)</f>
        <v>8.1933734217878688E-3</v>
      </c>
    </row>
    <row r="74" spans="1:4" x14ac:dyDescent="0.3">
      <c r="A74" t="str">
        <f>ConductivityParameters!A75</f>
        <v>Wood_Balsa_11_lbft3</v>
      </c>
      <c r="B74" t="str">
        <f>ConductivityParameters!B75</f>
        <v>polylog</v>
      </c>
      <c r="C74">
        <f>ConductivityParameters!D75</f>
        <v>300</v>
      </c>
      <c r="D74" cm="1">
        <f t="array" ref="D74">Conductivity(A74,C74)</f>
        <v>0.1257415312916513</v>
      </c>
    </row>
    <row r="75" spans="1:4" x14ac:dyDescent="0.3">
      <c r="A75" t="str">
        <f>ConductivityParameters!A76</f>
        <v>Wood_Balsa_6_lbft3</v>
      </c>
      <c r="B75" t="str">
        <f>ConductivityParameters!B76</f>
        <v>polylog</v>
      </c>
      <c r="C75">
        <f>ConductivityParameters!D76</f>
        <v>300</v>
      </c>
      <c r="D75" cm="1">
        <f t="array" ref="D75">Conductivity(A75,C75)</f>
        <v>5.3288707336152083E-2</v>
      </c>
    </row>
    <row r="76" spans="1:4" x14ac:dyDescent="0.3">
      <c r="A76" t="str">
        <f>ConductivityParameters!A77</f>
        <v>Wood_Beechwood_flatwise</v>
      </c>
      <c r="B76" t="str">
        <f>ConductivityParameters!B77</f>
        <v>polylog</v>
      </c>
      <c r="C76">
        <f>ConductivityParameters!D77</f>
        <v>300</v>
      </c>
      <c r="D76" cm="1">
        <f t="array" ref="D76">Conductivity(A76,C76)</f>
        <v>0.29263924633916105</v>
      </c>
    </row>
    <row r="77" spans="1:4" x14ac:dyDescent="0.3">
      <c r="A77" t="str">
        <f>ConductivityParameters!A78</f>
        <v>Wood_Beechwood_grain</v>
      </c>
      <c r="B77" t="str">
        <f>ConductivityParameters!B78</f>
        <v>polylog</v>
      </c>
      <c r="C77">
        <f>ConductivityParameters!D78</f>
        <v>300</v>
      </c>
      <c r="D77" cm="1">
        <f t="array" ref="D77">Conductivity(A77,C77)</f>
        <v>0.44085790678406062</v>
      </c>
    </row>
    <row r="78" spans="1:4" x14ac:dyDescent="0.3">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workbookViewId="0">
      <selection activeCell="D40" sqref="D40"/>
    </sheetView>
  </sheetViews>
  <sheetFormatPr defaultRowHeight="14.4" x14ac:dyDescent="0.3"/>
  <cols>
    <col min="1" max="1" width="28.33203125" bestFit="1" customWidth="1"/>
    <col min="2" max="2" width="13.6640625" bestFit="1" customWidth="1"/>
    <col min="3" max="3" width="11.4414062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3">
      <c r="A1" t="s">
        <v>19</v>
      </c>
      <c r="B1" t="s">
        <v>20</v>
      </c>
      <c r="C1" t="s">
        <v>21</v>
      </c>
      <c r="D1" t="s">
        <v>22</v>
      </c>
      <c r="E1" t="s">
        <v>23</v>
      </c>
      <c r="F1" t="s">
        <v>38</v>
      </c>
      <c r="G1" t="s">
        <v>10</v>
      </c>
      <c r="H1" t="s">
        <v>11</v>
      </c>
      <c r="I1" t="s">
        <v>12</v>
      </c>
      <c r="J1" t="s">
        <v>13</v>
      </c>
      <c r="K1" t="s">
        <v>14</v>
      </c>
      <c r="L1" t="s">
        <v>15</v>
      </c>
      <c r="M1" t="s">
        <v>16</v>
      </c>
      <c r="N1" t="s">
        <v>17</v>
      </c>
      <c r="O1" t="s">
        <v>18</v>
      </c>
      <c r="P1" t="s">
        <v>114</v>
      </c>
      <c r="Q1" t="s">
        <v>115</v>
      </c>
      <c r="R1" t="s">
        <v>116</v>
      </c>
      <c r="S1" t="s">
        <v>117</v>
      </c>
    </row>
    <row r="2" spans="1:19" x14ac:dyDescent="0.3">
      <c r="A2" t="s">
        <v>39</v>
      </c>
      <c r="B2" t="s">
        <v>104</v>
      </c>
      <c r="C2">
        <v>0.26400000000000001</v>
      </c>
      <c r="D2">
        <v>1.0609999999999999</v>
      </c>
      <c r="E2" t="s">
        <v>118</v>
      </c>
      <c r="F2">
        <v>0</v>
      </c>
      <c r="G2">
        <v>-2.2200500000000001</v>
      </c>
      <c r="H2">
        <v>2.0771899999999999</v>
      </c>
      <c r="I2">
        <v>29.253599999999999</v>
      </c>
      <c r="J2">
        <v>-18.510400000000001</v>
      </c>
      <c r="K2">
        <v>0</v>
      </c>
      <c r="L2">
        <v>0</v>
      </c>
      <c r="M2">
        <v>0</v>
      </c>
      <c r="N2">
        <v>0</v>
      </c>
      <c r="O2">
        <v>0</v>
      </c>
      <c r="P2">
        <v>0</v>
      </c>
      <c r="Q2">
        <v>0</v>
      </c>
      <c r="R2">
        <v>0</v>
      </c>
      <c r="S2">
        <v>0</v>
      </c>
    </row>
    <row r="3" spans="1:19" x14ac:dyDescent="0.3">
      <c r="A3" t="s">
        <v>41</v>
      </c>
      <c r="B3" t="s">
        <v>42</v>
      </c>
      <c r="C3">
        <v>4</v>
      </c>
      <c r="D3">
        <v>300</v>
      </c>
      <c r="E3" t="s">
        <v>119</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3">
      <c r="A4" t="s">
        <v>43</v>
      </c>
      <c r="B4" t="s">
        <v>42</v>
      </c>
      <c r="C4">
        <v>4</v>
      </c>
      <c r="D4">
        <v>300</v>
      </c>
      <c r="E4" t="s">
        <v>120</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3">
      <c r="A5" t="s">
        <v>44</v>
      </c>
      <c r="B5" t="s">
        <v>42</v>
      </c>
      <c r="C5">
        <v>4</v>
      </c>
      <c r="D5">
        <v>300</v>
      </c>
      <c r="E5" t="s">
        <v>121</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3">
      <c r="A6" t="s">
        <v>45</v>
      </c>
      <c r="B6" t="s">
        <v>42</v>
      </c>
      <c r="C6">
        <v>4</v>
      </c>
      <c r="D6">
        <v>296</v>
      </c>
      <c r="E6" t="s">
        <v>119</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3">
      <c r="A7" t="s">
        <v>46</v>
      </c>
      <c r="B7" t="s">
        <v>42</v>
      </c>
      <c r="C7">
        <v>2</v>
      </c>
      <c r="D7">
        <v>80</v>
      </c>
      <c r="E7" t="s">
        <v>119</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3">
      <c r="A8" t="s">
        <v>24</v>
      </c>
      <c r="B8" t="s">
        <v>42</v>
      </c>
      <c r="C8">
        <v>5</v>
      </c>
      <c r="D8">
        <v>116</v>
      </c>
      <c r="E8" t="s">
        <v>122</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3">
      <c r="A9" t="s">
        <v>25</v>
      </c>
      <c r="B9" t="s">
        <v>104</v>
      </c>
      <c r="C9">
        <v>0.13400000000000001</v>
      </c>
      <c r="D9">
        <v>4.8419999999999996</v>
      </c>
      <c r="E9" t="s">
        <v>123</v>
      </c>
      <c r="F9">
        <v>0</v>
      </c>
      <c r="G9">
        <v>3.9966899999999998E-3</v>
      </c>
      <c r="H9">
        <v>5.2094200000000002E-3</v>
      </c>
      <c r="I9">
        <v>-2.17074E-3</v>
      </c>
      <c r="J9">
        <v>2.4980899999999998E-4</v>
      </c>
      <c r="K9">
        <v>0</v>
      </c>
      <c r="L9">
        <v>0</v>
      </c>
      <c r="M9">
        <v>0</v>
      </c>
      <c r="N9">
        <v>0</v>
      </c>
      <c r="O9">
        <v>0</v>
      </c>
      <c r="P9">
        <v>0</v>
      </c>
      <c r="Q9">
        <v>0</v>
      </c>
      <c r="R9">
        <v>0</v>
      </c>
      <c r="S9">
        <v>0</v>
      </c>
    </row>
    <row r="10" spans="1:19" x14ac:dyDescent="0.3">
      <c r="A10" t="s">
        <v>47</v>
      </c>
      <c r="B10" t="s">
        <v>104</v>
      </c>
      <c r="C10">
        <v>0.13400000000000001</v>
      </c>
      <c r="D10">
        <v>4.8419999999999996</v>
      </c>
      <c r="E10" t="s">
        <v>124</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3">
      <c r="A11" t="s">
        <v>48</v>
      </c>
      <c r="B11" t="s">
        <v>104</v>
      </c>
      <c r="C11">
        <v>0.69799999999999995</v>
      </c>
      <c r="D11">
        <v>4.0199999999999996</v>
      </c>
      <c r="E11" t="s">
        <v>125</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3">
      <c r="A12" t="s">
        <v>49</v>
      </c>
      <c r="B12" t="s">
        <v>104</v>
      </c>
      <c r="C12">
        <v>0.309</v>
      </c>
      <c r="D12">
        <v>4.0149999999999997</v>
      </c>
      <c r="E12" t="s">
        <v>126</v>
      </c>
      <c r="F12">
        <v>0</v>
      </c>
      <c r="G12">
        <v>2.98036E-3</v>
      </c>
      <c r="H12">
        <v>9.7279399999999992E-3</v>
      </c>
      <c r="I12">
        <v>-4.47993E-3</v>
      </c>
      <c r="J12">
        <v>5.7121400000000001E-4</v>
      </c>
      <c r="K12">
        <v>0</v>
      </c>
      <c r="L12">
        <v>0</v>
      </c>
      <c r="M12">
        <v>0</v>
      </c>
      <c r="N12">
        <v>0</v>
      </c>
      <c r="O12">
        <v>0</v>
      </c>
      <c r="P12">
        <v>0</v>
      </c>
      <c r="Q12">
        <v>0</v>
      </c>
      <c r="R12">
        <v>0</v>
      </c>
      <c r="S12">
        <v>0</v>
      </c>
    </row>
    <row r="13" spans="1:19" x14ac:dyDescent="0.3">
      <c r="A13" t="s">
        <v>127</v>
      </c>
      <c r="B13" t="s">
        <v>104</v>
      </c>
      <c r="C13">
        <v>3.03</v>
      </c>
      <c r="D13">
        <v>96.8</v>
      </c>
      <c r="E13" t="s">
        <v>128</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3">
      <c r="A14" t="s">
        <v>129</v>
      </c>
      <c r="B14" t="s">
        <v>42</v>
      </c>
      <c r="C14">
        <v>298</v>
      </c>
      <c r="D14">
        <v>1070</v>
      </c>
      <c r="E14" t="s">
        <v>130</v>
      </c>
      <c r="F14">
        <v>10.9377</v>
      </c>
      <c r="G14">
        <v>0</v>
      </c>
      <c r="H14">
        <v>0</v>
      </c>
      <c r="I14">
        <v>0</v>
      </c>
      <c r="J14">
        <v>0</v>
      </c>
      <c r="K14">
        <v>0</v>
      </c>
      <c r="L14">
        <v>0</v>
      </c>
      <c r="M14">
        <v>0</v>
      </c>
      <c r="N14">
        <v>0</v>
      </c>
      <c r="O14">
        <v>0</v>
      </c>
      <c r="P14">
        <v>-12.6435</v>
      </c>
      <c r="Q14">
        <v>5.2809400000000002</v>
      </c>
      <c r="R14">
        <v>-0.69499100000000003</v>
      </c>
      <c r="S14">
        <v>0</v>
      </c>
    </row>
    <row r="15" spans="1:19" x14ac:dyDescent="0.3">
      <c r="A15" t="s">
        <v>131</v>
      </c>
      <c r="B15" t="s">
        <v>42</v>
      </c>
      <c r="C15">
        <v>0</v>
      </c>
      <c r="D15">
        <v>325</v>
      </c>
      <c r="E15" t="s">
        <v>132</v>
      </c>
      <c r="F15">
        <v>-1</v>
      </c>
      <c r="G15">
        <v>0</v>
      </c>
      <c r="H15">
        <v>0</v>
      </c>
      <c r="I15">
        <v>0</v>
      </c>
      <c r="J15">
        <v>0</v>
      </c>
      <c r="K15">
        <v>0</v>
      </c>
      <c r="L15">
        <v>0</v>
      </c>
      <c r="M15">
        <v>0</v>
      </c>
      <c r="N15">
        <v>0</v>
      </c>
      <c r="O15">
        <v>0</v>
      </c>
      <c r="P15">
        <v>0</v>
      </c>
      <c r="Q15">
        <v>-620.52099999999996</v>
      </c>
      <c r="R15">
        <v>859.33799999999997</v>
      </c>
      <c r="S15">
        <v>-396.77</v>
      </c>
    </row>
    <row r="16" spans="1:19" x14ac:dyDescent="0.3">
      <c r="A16" t="s">
        <v>50</v>
      </c>
      <c r="B16" t="s">
        <v>51</v>
      </c>
      <c r="C16">
        <v>4</v>
      </c>
      <c r="D16">
        <v>300</v>
      </c>
      <c r="E16" t="s">
        <v>120</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3">
      <c r="A17" t="s">
        <v>52</v>
      </c>
      <c r="B17" t="s">
        <v>51</v>
      </c>
      <c r="C17">
        <v>4</v>
      </c>
      <c r="D17">
        <v>300</v>
      </c>
      <c r="E17" t="s">
        <v>119</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3">
      <c r="A18" t="s">
        <v>53</v>
      </c>
      <c r="B18" t="s">
        <v>51</v>
      </c>
      <c r="C18">
        <v>4</v>
      </c>
      <c r="D18">
        <v>300</v>
      </c>
      <c r="E18" t="s">
        <v>120</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3">
      <c r="A19" t="s">
        <v>54</v>
      </c>
      <c r="B19" t="s">
        <v>51</v>
      </c>
      <c r="C19">
        <v>4</v>
      </c>
      <c r="D19">
        <v>300</v>
      </c>
      <c r="E19" t="s">
        <v>119</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3">
      <c r="A20" t="s">
        <v>55</v>
      </c>
      <c r="B20" t="s">
        <v>51</v>
      </c>
      <c r="C20">
        <v>4</v>
      </c>
      <c r="D20">
        <v>300</v>
      </c>
      <c r="E20" t="s">
        <v>119</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3">
      <c r="A21" t="s">
        <v>56</v>
      </c>
      <c r="B21" t="s">
        <v>42</v>
      </c>
      <c r="C21">
        <v>4</v>
      </c>
      <c r="D21">
        <v>300</v>
      </c>
      <c r="E21" t="s">
        <v>133</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3">
      <c r="A22" t="s">
        <v>57</v>
      </c>
      <c r="B22" t="s">
        <v>42</v>
      </c>
      <c r="C22">
        <v>4</v>
      </c>
      <c r="D22">
        <v>300</v>
      </c>
      <c r="E22" t="s">
        <v>133</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3">
      <c r="A23" t="s">
        <v>58</v>
      </c>
      <c r="B23" t="s">
        <v>104</v>
      </c>
      <c r="C23">
        <v>0.30399999999999999</v>
      </c>
      <c r="D23">
        <v>2.9710000000000001</v>
      </c>
      <c r="E23" t="s">
        <v>134</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3">
      <c r="A24" t="s">
        <v>59</v>
      </c>
      <c r="B24" t="s">
        <v>42</v>
      </c>
      <c r="C24">
        <v>38</v>
      </c>
      <c r="D24">
        <v>300</v>
      </c>
      <c r="E24" t="s">
        <v>120</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3">
      <c r="A25" t="s">
        <v>60</v>
      </c>
      <c r="B25" t="s">
        <v>42</v>
      </c>
      <c r="C25">
        <v>84</v>
      </c>
      <c r="D25">
        <v>300</v>
      </c>
      <c r="E25" t="s">
        <v>119</v>
      </c>
      <c r="F25">
        <v>0</v>
      </c>
      <c r="G25">
        <v>2909.91</v>
      </c>
      <c r="H25">
        <v>-8616.64</v>
      </c>
      <c r="I25">
        <v>10542.7</v>
      </c>
      <c r="J25">
        <v>-6832.07</v>
      </c>
      <c r="K25">
        <v>2475.33</v>
      </c>
      <c r="L25">
        <v>-475.7</v>
      </c>
      <c r="M25">
        <v>37.900300000000001</v>
      </c>
      <c r="N25">
        <v>0</v>
      </c>
      <c r="O25">
        <v>0</v>
      </c>
      <c r="P25">
        <v>0</v>
      </c>
      <c r="Q25">
        <v>0</v>
      </c>
      <c r="R25">
        <v>0</v>
      </c>
      <c r="S25">
        <v>0</v>
      </c>
    </row>
    <row r="26" spans="1:19" x14ac:dyDescent="0.3">
      <c r="A26" t="s">
        <v>61</v>
      </c>
      <c r="B26" t="s">
        <v>42</v>
      </c>
      <c r="C26">
        <v>80</v>
      </c>
      <c r="D26">
        <v>300</v>
      </c>
      <c r="E26" t="s">
        <v>120</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3">
      <c r="A27" t="s">
        <v>62</v>
      </c>
      <c r="B27" t="s">
        <v>63</v>
      </c>
      <c r="C27">
        <v>0.15</v>
      </c>
      <c r="D27">
        <v>1</v>
      </c>
      <c r="E27" t="s">
        <v>27</v>
      </c>
      <c r="F27">
        <v>0</v>
      </c>
      <c r="G27">
        <v>300</v>
      </c>
      <c r="H27">
        <v>0.01</v>
      </c>
      <c r="I27">
        <v>1.76</v>
      </c>
      <c r="J27">
        <v>5.1000000000000004E-3</v>
      </c>
      <c r="K27">
        <v>0</v>
      </c>
      <c r="L27">
        <v>0</v>
      </c>
      <c r="M27">
        <v>0</v>
      </c>
      <c r="N27">
        <v>0</v>
      </c>
      <c r="O27">
        <v>0</v>
      </c>
      <c r="P27">
        <v>0</v>
      </c>
      <c r="Q27">
        <v>0</v>
      </c>
      <c r="R27">
        <v>0</v>
      </c>
      <c r="S27">
        <v>0</v>
      </c>
    </row>
    <row r="28" spans="1:19" x14ac:dyDescent="0.3">
      <c r="A28" t="s">
        <v>64</v>
      </c>
      <c r="B28" t="s">
        <v>42</v>
      </c>
      <c r="C28">
        <v>0.06</v>
      </c>
      <c r="D28">
        <v>4.22</v>
      </c>
      <c r="E28" t="s">
        <v>27</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3">
      <c r="A29" t="s">
        <v>65</v>
      </c>
      <c r="B29" t="s">
        <v>63</v>
      </c>
      <c r="C29">
        <v>0.1</v>
      </c>
      <c r="D29">
        <v>5</v>
      </c>
      <c r="E29" t="s">
        <v>27</v>
      </c>
      <c r="F29">
        <v>0</v>
      </c>
      <c r="G29">
        <v>5</v>
      </c>
      <c r="H29">
        <v>0.01</v>
      </c>
      <c r="I29">
        <v>1.2715000000000001</v>
      </c>
      <c r="J29">
        <v>7.4999999999999997E-3</v>
      </c>
      <c r="K29">
        <v>0</v>
      </c>
      <c r="L29">
        <v>0</v>
      </c>
      <c r="M29">
        <v>0</v>
      </c>
      <c r="N29">
        <v>0</v>
      </c>
      <c r="O29">
        <v>0</v>
      </c>
      <c r="P29">
        <v>0</v>
      </c>
      <c r="Q29">
        <v>0</v>
      </c>
      <c r="R29">
        <v>0</v>
      </c>
      <c r="S29">
        <v>0</v>
      </c>
    </row>
    <row r="30" spans="1:19" x14ac:dyDescent="0.3">
      <c r="A30" t="s">
        <v>66</v>
      </c>
      <c r="B30" t="s">
        <v>42</v>
      </c>
      <c r="C30">
        <v>0.06</v>
      </c>
      <c r="D30">
        <v>4.22</v>
      </c>
      <c r="E30" t="s">
        <v>27</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3">
      <c r="A31" t="s">
        <v>67</v>
      </c>
      <c r="B31" t="s">
        <v>42</v>
      </c>
      <c r="C31">
        <v>6</v>
      </c>
      <c r="D31">
        <v>275</v>
      </c>
      <c r="E31" t="s">
        <v>119</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3">
      <c r="A32" t="s">
        <v>68</v>
      </c>
      <c r="B32" t="s">
        <v>42</v>
      </c>
      <c r="C32">
        <v>4</v>
      </c>
      <c r="D32">
        <v>300</v>
      </c>
      <c r="E32" t="s">
        <v>119</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3">
      <c r="A33" t="s">
        <v>69</v>
      </c>
      <c r="B33" t="s">
        <v>36</v>
      </c>
      <c r="C33">
        <v>0</v>
      </c>
      <c r="D33">
        <v>307</v>
      </c>
      <c r="E33" t="s">
        <v>135</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3">
      <c r="A34" t="s">
        <v>136</v>
      </c>
      <c r="B34" t="s">
        <v>42</v>
      </c>
      <c r="C34">
        <v>4</v>
      </c>
      <c r="D34">
        <v>300</v>
      </c>
      <c r="E34" t="s">
        <v>27</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3">
      <c r="A35" t="s">
        <v>26</v>
      </c>
      <c r="B35" t="s">
        <v>104</v>
      </c>
      <c r="C35">
        <v>0.29799999999999999</v>
      </c>
      <c r="D35">
        <v>2.851</v>
      </c>
      <c r="E35" t="s">
        <v>137</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3">
      <c r="A36" t="s">
        <v>70</v>
      </c>
      <c r="B36" t="s">
        <v>71</v>
      </c>
      <c r="C36">
        <v>6</v>
      </c>
      <c r="D36">
        <v>302</v>
      </c>
      <c r="E36" t="s">
        <v>138</v>
      </c>
      <c r="F36">
        <v>0</v>
      </c>
      <c r="G36">
        <v>-2.65</v>
      </c>
      <c r="H36">
        <v>1.98664</v>
      </c>
      <c r="I36">
        <v>1.24851</v>
      </c>
      <c r="J36">
        <v>0.56999999999999995</v>
      </c>
      <c r="K36">
        <v>-8</v>
      </c>
      <c r="L36">
        <v>0.77785700000000002</v>
      </c>
      <c r="M36">
        <v>0</v>
      </c>
      <c r="N36">
        <v>0</v>
      </c>
      <c r="O36">
        <v>0</v>
      </c>
      <c r="P36">
        <v>0</v>
      </c>
      <c r="Q36">
        <v>0</v>
      </c>
      <c r="R36">
        <v>0</v>
      </c>
      <c r="S36">
        <v>0</v>
      </c>
    </row>
    <row r="37" spans="1:19" x14ac:dyDescent="0.3">
      <c r="A37" t="s">
        <v>72</v>
      </c>
      <c r="B37" t="s">
        <v>71</v>
      </c>
      <c r="C37">
        <v>0.1</v>
      </c>
      <c r="D37">
        <v>291</v>
      </c>
      <c r="E37" t="s">
        <v>139</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3">
      <c r="A38" t="s">
        <v>28</v>
      </c>
      <c r="B38" t="s">
        <v>42</v>
      </c>
      <c r="C38">
        <v>4</v>
      </c>
      <c r="D38">
        <v>296</v>
      </c>
      <c r="E38" t="s">
        <v>119</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3">
      <c r="A39" t="s">
        <v>29</v>
      </c>
      <c r="B39" t="s">
        <v>104</v>
      </c>
      <c r="C39">
        <v>0.33700000000000002</v>
      </c>
      <c r="D39">
        <v>3.2130000000000001</v>
      </c>
      <c r="E39" t="s">
        <v>140</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3">
      <c r="A40" t="s">
        <v>73</v>
      </c>
      <c r="B40" t="s">
        <v>36</v>
      </c>
      <c r="C40">
        <v>0.01</v>
      </c>
      <c r="D40">
        <v>1180</v>
      </c>
      <c r="E40" t="s">
        <v>141</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3">
      <c r="A41" t="s">
        <v>30</v>
      </c>
      <c r="B41" t="s">
        <v>42</v>
      </c>
      <c r="C41">
        <v>2</v>
      </c>
      <c r="D41">
        <v>373</v>
      </c>
      <c r="E41" t="s">
        <v>142</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3">
      <c r="A42" t="s">
        <v>74</v>
      </c>
      <c r="B42" t="s">
        <v>42</v>
      </c>
      <c r="C42">
        <v>1</v>
      </c>
      <c r="D42">
        <v>83</v>
      </c>
      <c r="E42" t="s">
        <v>120</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3">
      <c r="A43" t="s">
        <v>75</v>
      </c>
      <c r="B43" t="s">
        <v>42</v>
      </c>
      <c r="C43">
        <v>0.11600000000000001</v>
      </c>
      <c r="D43">
        <v>9.2319999999999993</v>
      </c>
      <c r="E43" t="s">
        <v>143</v>
      </c>
      <c r="F43">
        <v>-1</v>
      </c>
      <c r="G43">
        <v>0</v>
      </c>
      <c r="H43">
        <v>0</v>
      </c>
      <c r="I43">
        <v>0</v>
      </c>
      <c r="J43">
        <v>0</v>
      </c>
      <c r="K43">
        <v>0</v>
      </c>
      <c r="L43">
        <v>0</v>
      </c>
      <c r="M43">
        <v>0</v>
      </c>
      <c r="N43">
        <v>0</v>
      </c>
      <c r="O43">
        <v>0</v>
      </c>
      <c r="P43">
        <v>-2.31297</v>
      </c>
      <c r="Q43">
        <v>1.4872700000000001</v>
      </c>
      <c r="R43">
        <v>0.26238800000000001</v>
      </c>
      <c r="S43">
        <v>0.44439200000000001</v>
      </c>
    </row>
    <row r="44" spans="1:19" x14ac:dyDescent="0.3">
      <c r="A44" t="s">
        <v>76</v>
      </c>
      <c r="B44" t="s">
        <v>42</v>
      </c>
      <c r="C44">
        <v>4</v>
      </c>
      <c r="D44">
        <v>300</v>
      </c>
      <c r="E44" t="s">
        <v>27</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3">
      <c r="A45" t="s">
        <v>77</v>
      </c>
      <c r="B45" t="s">
        <v>42</v>
      </c>
      <c r="C45">
        <v>4</v>
      </c>
      <c r="D45">
        <v>300</v>
      </c>
      <c r="E45" t="s">
        <v>119</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3">
      <c r="A46" t="s">
        <v>78</v>
      </c>
      <c r="B46" t="s">
        <v>42</v>
      </c>
      <c r="C46">
        <v>4</v>
      </c>
      <c r="D46">
        <v>300</v>
      </c>
      <c r="E46" t="s">
        <v>119</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3">
      <c r="A47" t="s">
        <v>79</v>
      </c>
      <c r="B47" t="s">
        <v>42</v>
      </c>
      <c r="C47">
        <v>4</v>
      </c>
      <c r="D47">
        <v>300</v>
      </c>
      <c r="E47" t="s">
        <v>119</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3">
      <c r="A48" t="s">
        <v>80</v>
      </c>
      <c r="B48" t="s">
        <v>42</v>
      </c>
      <c r="C48">
        <v>4</v>
      </c>
      <c r="D48">
        <v>300</v>
      </c>
      <c r="E48" t="s">
        <v>119</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3">
      <c r="A49" t="s">
        <v>81</v>
      </c>
      <c r="B49" t="s">
        <v>42</v>
      </c>
      <c r="C49">
        <v>4</v>
      </c>
      <c r="D49">
        <v>300</v>
      </c>
      <c r="E49" t="s">
        <v>119</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3">
      <c r="A50" t="s">
        <v>82</v>
      </c>
      <c r="B50" t="s">
        <v>36</v>
      </c>
      <c r="C50">
        <v>3.22</v>
      </c>
      <c r="D50">
        <v>448</v>
      </c>
      <c r="E50" t="s">
        <v>144</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3">
      <c r="A51" t="s">
        <v>31</v>
      </c>
      <c r="B51" t="s">
        <v>42</v>
      </c>
      <c r="C51">
        <v>3</v>
      </c>
      <c r="D51">
        <v>298</v>
      </c>
      <c r="E51" t="s">
        <v>142</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3">
      <c r="A52" t="s">
        <v>83</v>
      </c>
      <c r="B52" t="s">
        <v>42</v>
      </c>
      <c r="C52">
        <v>90</v>
      </c>
      <c r="D52">
        <v>300</v>
      </c>
      <c r="E52" t="s">
        <v>119</v>
      </c>
      <c r="F52">
        <v>0</v>
      </c>
      <c r="G52">
        <v>-1557.5</v>
      </c>
      <c r="H52">
        <v>3984.7</v>
      </c>
      <c r="I52">
        <v>-3940.24</v>
      </c>
      <c r="J52">
        <v>1649.67</v>
      </c>
      <c r="K52">
        <v>12.801</v>
      </c>
      <c r="L52">
        <v>-294.262</v>
      </c>
      <c r="M52">
        <v>119.59</v>
      </c>
      <c r="N52">
        <v>-20.630099999999999</v>
      </c>
      <c r="O52">
        <v>1.36067</v>
      </c>
      <c r="P52">
        <v>0</v>
      </c>
      <c r="Q52">
        <v>0</v>
      </c>
      <c r="R52">
        <v>0</v>
      </c>
      <c r="S52">
        <v>0</v>
      </c>
    </row>
    <row r="53" spans="1:19" x14ac:dyDescent="0.3">
      <c r="A53" t="s">
        <v>84</v>
      </c>
      <c r="B53" t="s">
        <v>42</v>
      </c>
      <c r="C53">
        <v>33</v>
      </c>
      <c r="D53">
        <v>300</v>
      </c>
      <c r="E53" t="s">
        <v>119</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3">
      <c r="A54" t="s">
        <v>85</v>
      </c>
      <c r="B54" t="s">
        <v>42</v>
      </c>
      <c r="C54">
        <v>7</v>
      </c>
      <c r="D54">
        <v>300</v>
      </c>
      <c r="E54" t="s">
        <v>119</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3">
      <c r="A55" t="s">
        <v>86</v>
      </c>
      <c r="B55" t="s">
        <v>42</v>
      </c>
      <c r="C55">
        <v>4</v>
      </c>
      <c r="D55">
        <v>300</v>
      </c>
      <c r="E55" t="s">
        <v>142</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3">
      <c r="A56" t="s">
        <v>87</v>
      </c>
      <c r="B56" t="s">
        <v>42</v>
      </c>
      <c r="C56">
        <v>76</v>
      </c>
      <c r="D56">
        <v>300</v>
      </c>
      <c r="E56" t="s">
        <v>119</v>
      </c>
      <c r="F56">
        <v>0</v>
      </c>
      <c r="G56">
        <v>-3218.68</v>
      </c>
      <c r="H56">
        <v>9201.61</v>
      </c>
      <c r="I56">
        <v>-10956.7</v>
      </c>
      <c r="J56">
        <v>6950.1</v>
      </c>
      <c r="K56">
        <v>-2476.94</v>
      </c>
      <c r="L56">
        <v>470.28399999999999</v>
      </c>
      <c r="M56">
        <v>-37.166899999999998</v>
      </c>
      <c r="N56">
        <v>0</v>
      </c>
      <c r="O56">
        <v>0</v>
      </c>
      <c r="P56">
        <v>0</v>
      </c>
      <c r="Q56">
        <v>0</v>
      </c>
      <c r="R56">
        <v>0</v>
      </c>
      <c r="S56">
        <v>0</v>
      </c>
    </row>
    <row r="57" spans="1:19" x14ac:dyDescent="0.3">
      <c r="A57" t="s">
        <v>88</v>
      </c>
      <c r="B57" t="s">
        <v>42</v>
      </c>
      <c r="C57">
        <v>100</v>
      </c>
      <c r="D57">
        <v>300</v>
      </c>
      <c r="E57" t="s">
        <v>120</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3">
      <c r="A58" t="s">
        <v>89</v>
      </c>
      <c r="B58" t="s">
        <v>42</v>
      </c>
      <c r="C58">
        <v>30</v>
      </c>
      <c r="D58">
        <v>300</v>
      </c>
      <c r="E58" t="s">
        <v>120</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3">
      <c r="A59" t="s">
        <v>90</v>
      </c>
      <c r="B59" t="s">
        <v>42</v>
      </c>
      <c r="C59">
        <v>88</v>
      </c>
      <c r="D59">
        <v>300</v>
      </c>
      <c r="E59" t="s">
        <v>119</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3">
      <c r="A60" t="s">
        <v>91</v>
      </c>
      <c r="B60" t="s">
        <v>42</v>
      </c>
      <c r="C60">
        <v>100</v>
      </c>
      <c r="D60">
        <v>300</v>
      </c>
      <c r="E60" t="s">
        <v>122</v>
      </c>
      <c r="F60">
        <v>0</v>
      </c>
      <c r="G60">
        <v>11314.6</v>
      </c>
      <c r="H60">
        <v>-30824.3</v>
      </c>
      <c r="I60">
        <v>34964.199999999997</v>
      </c>
      <c r="J60">
        <v>-21141.4</v>
      </c>
      <c r="K60">
        <v>7187.43</v>
      </c>
      <c r="L60">
        <v>-1302.71</v>
      </c>
      <c r="M60">
        <v>98.352500000000006</v>
      </c>
      <c r="N60">
        <v>0</v>
      </c>
      <c r="O60">
        <v>0</v>
      </c>
      <c r="P60">
        <v>0</v>
      </c>
      <c r="Q60">
        <v>0</v>
      </c>
      <c r="R60">
        <v>0</v>
      </c>
      <c r="S60">
        <v>0</v>
      </c>
    </row>
    <row r="61" spans="1:19" x14ac:dyDescent="0.3">
      <c r="A61" t="s">
        <v>92</v>
      </c>
      <c r="B61" t="s">
        <v>42</v>
      </c>
      <c r="C61">
        <v>125</v>
      </c>
      <c r="D61">
        <v>300</v>
      </c>
      <c r="E61" t="s">
        <v>119</v>
      </c>
      <c r="F61">
        <v>0</v>
      </c>
      <c r="G61">
        <v>-4123.51</v>
      </c>
      <c r="H61">
        <v>9690.59</v>
      </c>
      <c r="I61">
        <v>-7920.09</v>
      </c>
      <c r="J61">
        <v>1572.9</v>
      </c>
      <c r="K61">
        <v>1459.99</v>
      </c>
      <c r="L61">
        <v>-1028.33</v>
      </c>
      <c r="M61">
        <v>255.773</v>
      </c>
      <c r="N61">
        <v>-23.319299999999998</v>
      </c>
      <c r="O61">
        <v>0</v>
      </c>
      <c r="P61">
        <v>0</v>
      </c>
      <c r="Q61">
        <v>0</v>
      </c>
      <c r="R61">
        <v>0</v>
      </c>
      <c r="S61">
        <v>0</v>
      </c>
    </row>
    <row r="62" spans="1:19" x14ac:dyDescent="0.3">
      <c r="A62" t="s">
        <v>93</v>
      </c>
      <c r="B62" t="s">
        <v>36</v>
      </c>
      <c r="C62">
        <v>4.4999999999999998E-2</v>
      </c>
      <c r="D62">
        <v>1672</v>
      </c>
      <c r="E62" t="s">
        <v>145</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3">
      <c r="A63" t="s">
        <v>37</v>
      </c>
      <c r="B63" t="s">
        <v>36</v>
      </c>
      <c r="C63">
        <v>0.38500000000000001</v>
      </c>
      <c r="D63">
        <v>1672</v>
      </c>
      <c r="E63" t="s">
        <v>146</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3">
      <c r="A64" t="s">
        <v>94</v>
      </c>
      <c r="B64" t="s">
        <v>42</v>
      </c>
      <c r="C64">
        <v>4</v>
      </c>
      <c r="D64">
        <v>300</v>
      </c>
      <c r="E64" t="s">
        <v>119</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3">
      <c r="A65" t="s">
        <v>95</v>
      </c>
      <c r="B65" t="s">
        <v>104</v>
      </c>
      <c r="C65">
        <v>0.374</v>
      </c>
      <c r="D65">
        <v>1.67</v>
      </c>
      <c r="E65" t="s">
        <v>147</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3">
      <c r="A66" t="s">
        <v>96</v>
      </c>
      <c r="B66" t="s">
        <v>42</v>
      </c>
      <c r="C66">
        <v>148.15</v>
      </c>
      <c r="D66">
        <v>1273.1500000000001</v>
      </c>
      <c r="E66" t="s">
        <v>148</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3">
      <c r="A67" t="s">
        <v>149</v>
      </c>
      <c r="B67" t="s">
        <v>104</v>
      </c>
      <c r="C67">
        <v>4.4999999999999998E-2</v>
      </c>
      <c r="D67">
        <v>57.052</v>
      </c>
      <c r="E67" t="s">
        <v>150</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3">
      <c r="A68" t="s">
        <v>151</v>
      </c>
      <c r="B68" t="s">
        <v>42</v>
      </c>
      <c r="C68">
        <v>137.77699999999999</v>
      </c>
      <c r="D68">
        <v>1670.15</v>
      </c>
      <c r="E68" t="s">
        <v>152</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3">
      <c r="A69" t="s">
        <v>153</v>
      </c>
      <c r="B69" t="s">
        <v>36</v>
      </c>
      <c r="C69">
        <v>0.39300000000000002</v>
      </c>
      <c r="D69">
        <v>1623.194</v>
      </c>
      <c r="E69" t="s">
        <v>154</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3">
      <c r="A70" t="s">
        <v>32</v>
      </c>
      <c r="B70" t="s">
        <v>42</v>
      </c>
      <c r="C70">
        <v>4</v>
      </c>
      <c r="D70">
        <v>300</v>
      </c>
      <c r="E70" t="s">
        <v>133</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3">
      <c r="A71" t="s">
        <v>97</v>
      </c>
      <c r="B71" t="s">
        <v>42</v>
      </c>
      <c r="C71">
        <v>6.0999999999999999E-2</v>
      </c>
      <c r="D71">
        <v>1173.1500000000001</v>
      </c>
      <c r="E71" t="s">
        <v>155</v>
      </c>
      <c r="F71">
        <v>-1.41506</v>
      </c>
      <c r="G71">
        <v>0</v>
      </c>
      <c r="H71">
        <v>0</v>
      </c>
      <c r="I71">
        <v>0</v>
      </c>
      <c r="J71">
        <v>0</v>
      </c>
      <c r="K71">
        <v>0</v>
      </c>
      <c r="L71">
        <v>0</v>
      </c>
      <c r="M71">
        <v>0</v>
      </c>
      <c r="N71">
        <v>0</v>
      </c>
      <c r="O71">
        <v>0</v>
      </c>
      <c r="P71">
        <v>1.72407</v>
      </c>
      <c r="Q71">
        <v>-0.43785499999999999</v>
      </c>
      <c r="R71">
        <v>4.8406200000000003E-2</v>
      </c>
      <c r="S71">
        <v>0</v>
      </c>
    </row>
    <row r="72" spans="1:19" x14ac:dyDescent="0.3">
      <c r="A72" t="s">
        <v>98</v>
      </c>
      <c r="B72" t="s">
        <v>42</v>
      </c>
      <c r="C72">
        <v>1.4</v>
      </c>
      <c r="D72">
        <v>300</v>
      </c>
      <c r="E72" t="s">
        <v>142</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3">
      <c r="A73" t="s">
        <v>33</v>
      </c>
      <c r="B73" t="s">
        <v>104</v>
      </c>
      <c r="C73">
        <v>0.30299999999999999</v>
      </c>
      <c r="D73">
        <v>2.9769999999999999</v>
      </c>
      <c r="E73" t="s">
        <v>156</v>
      </c>
      <c r="F73">
        <v>0</v>
      </c>
      <c r="G73">
        <v>-7.5278599999999997E-4</v>
      </c>
      <c r="H73">
        <v>1.52769E-2</v>
      </c>
      <c r="I73">
        <v>-8.1721499999999996E-3</v>
      </c>
      <c r="J73">
        <v>1.34033E-3</v>
      </c>
      <c r="K73">
        <v>0</v>
      </c>
      <c r="L73">
        <v>0</v>
      </c>
      <c r="M73">
        <v>0</v>
      </c>
      <c r="N73">
        <v>0</v>
      </c>
      <c r="O73">
        <v>0</v>
      </c>
      <c r="P73">
        <v>0</v>
      </c>
      <c r="Q73">
        <v>0</v>
      </c>
      <c r="R73">
        <v>0</v>
      </c>
      <c r="S73">
        <v>0</v>
      </c>
    </row>
    <row r="74" spans="1:19" x14ac:dyDescent="0.3">
      <c r="A74" t="s">
        <v>34</v>
      </c>
      <c r="B74" t="s">
        <v>104</v>
      </c>
      <c r="C74">
        <v>0.32200000000000001</v>
      </c>
      <c r="D74">
        <v>3.032</v>
      </c>
      <c r="E74" t="s">
        <v>157</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3">
      <c r="A75" t="s">
        <v>99</v>
      </c>
      <c r="B75" t="s">
        <v>42</v>
      </c>
      <c r="C75">
        <v>88</v>
      </c>
      <c r="D75">
        <v>300</v>
      </c>
      <c r="E75" t="s">
        <v>142</v>
      </c>
      <c r="F75">
        <v>0</v>
      </c>
      <c r="G75">
        <v>4815.3999999999996</v>
      </c>
      <c r="H75">
        <v>-12969.6</v>
      </c>
      <c r="I75">
        <v>14520.8</v>
      </c>
      <c r="J75">
        <v>-8654.16</v>
      </c>
      <c r="K75">
        <v>2895.71</v>
      </c>
      <c r="L75">
        <v>-515.72699999999998</v>
      </c>
      <c r="M75">
        <v>38.1922</v>
      </c>
      <c r="N75">
        <v>0</v>
      </c>
      <c r="O75">
        <v>0</v>
      </c>
      <c r="P75">
        <v>0</v>
      </c>
      <c r="Q75">
        <v>0</v>
      </c>
      <c r="R75">
        <v>0</v>
      </c>
      <c r="S75">
        <v>0</v>
      </c>
    </row>
    <row r="76" spans="1:19" x14ac:dyDescent="0.3">
      <c r="A76" t="s">
        <v>100</v>
      </c>
      <c r="B76" t="s">
        <v>42</v>
      </c>
      <c r="C76">
        <v>88</v>
      </c>
      <c r="D76">
        <v>300</v>
      </c>
      <c r="E76" t="s">
        <v>122</v>
      </c>
      <c r="F76">
        <v>0</v>
      </c>
      <c r="G76">
        <v>4172.45</v>
      </c>
      <c r="H76">
        <v>-11310</v>
      </c>
      <c r="I76">
        <v>12745.1</v>
      </c>
      <c r="J76">
        <v>-7647.58</v>
      </c>
      <c r="K76">
        <v>2577.31</v>
      </c>
      <c r="L76">
        <v>-462.53800000000001</v>
      </c>
      <c r="M76">
        <v>34.5351</v>
      </c>
      <c r="N76">
        <v>0</v>
      </c>
      <c r="O76">
        <v>0</v>
      </c>
      <c r="P76">
        <v>0</v>
      </c>
      <c r="Q76">
        <v>0</v>
      </c>
      <c r="R76">
        <v>0</v>
      </c>
      <c r="S76">
        <v>0</v>
      </c>
    </row>
    <row r="77" spans="1:19" x14ac:dyDescent="0.3">
      <c r="A77" t="s">
        <v>101</v>
      </c>
      <c r="B77" t="s">
        <v>42</v>
      </c>
      <c r="C77">
        <v>92</v>
      </c>
      <c r="D77">
        <v>300</v>
      </c>
      <c r="E77" t="s">
        <v>122</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3">
      <c r="A78" t="s">
        <v>102</v>
      </c>
      <c r="B78" t="s">
        <v>42</v>
      </c>
      <c r="C78">
        <v>92</v>
      </c>
      <c r="D78">
        <v>300</v>
      </c>
      <c r="E78" t="s">
        <v>120</v>
      </c>
      <c r="F78">
        <v>0</v>
      </c>
      <c r="G78">
        <v>-1375.11</v>
      </c>
      <c r="H78">
        <v>3740.69</v>
      </c>
      <c r="I78">
        <v>-4238.47</v>
      </c>
      <c r="J78">
        <v>2559.33</v>
      </c>
      <c r="K78">
        <v>-868.60699999999997</v>
      </c>
      <c r="L78">
        <v>157.102</v>
      </c>
      <c r="M78">
        <v>-11.829599999999999</v>
      </c>
      <c r="N78">
        <v>0</v>
      </c>
      <c r="O78">
        <v>0</v>
      </c>
      <c r="P78">
        <v>0</v>
      </c>
      <c r="Q78">
        <v>0</v>
      </c>
      <c r="R78">
        <v>0</v>
      </c>
      <c r="S78">
        <v>0</v>
      </c>
    </row>
    <row r="79" spans="1:19" x14ac:dyDescent="0.3">
      <c r="A79" t="s">
        <v>103</v>
      </c>
      <c r="B79" t="s">
        <v>35</v>
      </c>
      <c r="C79">
        <v>3.4000000000000002E-2</v>
      </c>
      <c r="D79">
        <v>1000</v>
      </c>
      <c r="E79" t="s">
        <v>40</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Sample Thermal Model</vt:lpstr>
      <vt:lpstr>Tutorial</vt:lpstr>
      <vt:lpstr>Conductivity Test Sheet</vt:lpstr>
      <vt:lpstr>ConductivityParameters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Nachman, Henry E</cp:lastModifiedBy>
  <dcterms:created xsi:type="dcterms:W3CDTF">2024-03-27T18:46:17Z</dcterms:created>
  <dcterms:modified xsi:type="dcterms:W3CDTF">2024-07-12T19:55:29Z</dcterms:modified>
</cp:coreProperties>
</file>