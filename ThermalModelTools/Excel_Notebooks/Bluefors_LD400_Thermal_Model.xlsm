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texas-my.sharepoint.com/personal/hen367_my_utexas_edu/Documents/01_RESEARCH/05_CMBS4/Cryogenic_Material_Properties/ThermalModelTools/Excel_Notebooks/"/>
    </mc:Choice>
  </mc:AlternateContent>
  <xr:revisionPtr revIDLastSave="15" documentId="8_{0C88CFAC-1F1E-EF45-9C05-9EFD25B9B47F}" xr6:coauthVersionLast="47" xr6:coauthVersionMax="47" xr10:uidLastSave="{31697893-EBD8-4DFC-AAD8-2A1F65F33050}"/>
  <bookViews>
    <workbookView xWindow="-108" yWindow="-108" windowWidth="23256" windowHeight="12456" xr2:uid="{D1996491-F8EF-4211-958F-AD8973F3D706}"/>
  </bookViews>
  <sheets>
    <sheet name="Sample Thermal Model" sheetId="1" r:id="rId1"/>
    <sheet name="Conductivity Test Sheet" sheetId="3" r:id="rId2"/>
    <sheet name="ConductivityParameters" sheetId="5" r:id="rId3"/>
  </sheets>
  <definedNames>
    <definedName name="C_SB">'Sample Thermal Model'!$J$3</definedName>
    <definedName name="ExternalData_1" localSheetId="2" hidden="1">ConductivityParameters!$A$1:$S$79</definedName>
    <definedName name="T_MC">'Sample Thermal Model'!$F$3</definedName>
    <definedName name="T_PTC1">'Sample Thermal Model'!$C$3</definedName>
    <definedName name="T_PTC2">'Sample Thermal Model'!$D$3</definedName>
    <definedName name="T_Room">'Sample Thermal Model'!$B$3</definedName>
    <definedName name="T_Still">'Sample Thermal Model'!$E$3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0" i="1" l="1"/>
  <c r="H84" i="1" s="1"/>
  <c r="E75" i="1"/>
  <c r="E77" i="1" s="1"/>
  <c r="B75" i="1"/>
  <c r="B77" i="1" s="1"/>
  <c r="B74" i="1"/>
  <c r="H37" i="1"/>
  <c r="H44" i="1" s="1"/>
  <c r="H57" i="1"/>
  <c r="H64" i="1" s="1"/>
  <c r="E55" i="1"/>
  <c r="E57" i="1" s="1"/>
  <c r="B55" i="1"/>
  <c r="B57" i="1" s="1"/>
  <c r="B54" i="1"/>
  <c r="E35" i="1"/>
  <c r="E37" i="1" s="1"/>
  <c r="B35" i="1"/>
  <c r="B37" i="1" s="1"/>
  <c r="B34" i="1"/>
  <c r="H15" i="1"/>
  <c r="H14" i="1"/>
  <c r="H13" i="1"/>
  <c r="H12" i="1"/>
  <c r="E15" i="1"/>
  <c r="E17" i="1" s="1"/>
  <c r="B15" i="1"/>
  <c r="B16" i="1"/>
  <c r="B14" i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C37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1" i="3"/>
  <c r="B1" i="3"/>
  <c r="A1" i="3"/>
  <c r="D2" i="3" a="1"/>
  <c r="D6" i="3" a="1"/>
  <c r="D10" i="3" a="1"/>
  <c r="D14" i="3" a="1"/>
  <c r="D18" i="3" a="1"/>
  <c r="D22" i="3" a="1"/>
  <c r="D26" i="3" a="1"/>
  <c r="D30" i="3" a="1"/>
  <c r="D34" i="3" a="1"/>
  <c r="D38" i="3" a="1"/>
  <c r="D42" i="3" a="1"/>
  <c r="D46" i="3" a="1"/>
  <c r="D50" i="3" a="1"/>
  <c r="D54" i="3" a="1"/>
  <c r="D58" i="3" a="1"/>
  <c r="D62" i="3" a="1"/>
  <c r="D66" i="3" a="1"/>
  <c r="D70" i="3" a="1"/>
  <c r="D74" i="3" a="1"/>
  <c r="D78" i="3" a="1"/>
  <c r="D71" i="3" a="1"/>
  <c r="D3" i="3" a="1"/>
  <c r="D7" i="3" a="1"/>
  <c r="D11" i="3" a="1"/>
  <c r="D15" i="3" a="1"/>
  <c r="D19" i="3" a="1"/>
  <c r="D23" i="3" a="1"/>
  <c r="D27" i="3" a="1"/>
  <c r="D31" i="3" a="1"/>
  <c r="D35" i="3" a="1"/>
  <c r="D39" i="3" a="1"/>
  <c r="D43" i="3" a="1"/>
  <c r="D47" i="3" a="1"/>
  <c r="D51" i="3" a="1"/>
  <c r="D55" i="3" a="1"/>
  <c r="D59" i="3" a="1"/>
  <c r="D63" i="3" a="1"/>
  <c r="D67" i="3" a="1"/>
  <c r="D75" i="3" a="1"/>
  <c r="D76" i="3" a="1"/>
  <c r="D4" i="3" a="1"/>
  <c r="D8" i="3" a="1"/>
  <c r="D12" i="3" a="1"/>
  <c r="D16" i="3" a="1"/>
  <c r="D20" i="3" a="1"/>
  <c r="D24" i="3" a="1"/>
  <c r="D28" i="3" a="1"/>
  <c r="D32" i="3" a="1"/>
  <c r="D36" i="3" a="1"/>
  <c r="D40" i="3" a="1"/>
  <c r="D44" i="3" a="1"/>
  <c r="D48" i="3" a="1"/>
  <c r="D52" i="3" a="1"/>
  <c r="D56" i="3" a="1"/>
  <c r="D60" i="3" a="1"/>
  <c r="D64" i="3" a="1"/>
  <c r="D68" i="3" a="1"/>
  <c r="D72" i="3" a="1"/>
  <c r="D5" i="3" a="1"/>
  <c r="D9" i="3" a="1"/>
  <c r="D13" i="3" a="1"/>
  <c r="D17" i="3" a="1"/>
  <c r="D21" i="3" a="1"/>
  <c r="D25" i="3" a="1"/>
  <c r="D29" i="3" a="1"/>
  <c r="D33" i="3" a="1"/>
  <c r="D37" i="3" a="1"/>
  <c r="D41" i="3" a="1"/>
  <c r="D45" i="3" a="1"/>
  <c r="D49" i="3" a="1"/>
  <c r="D53" i="3" a="1"/>
  <c r="D57" i="3" a="1"/>
  <c r="D61" i="3" a="1"/>
  <c r="D65" i="3" a="1"/>
  <c r="D69" i="3" a="1"/>
  <c r="D73" i="3" a="1"/>
  <c r="D77" i="3" a="1"/>
  <c r="D1" i="3" a="1"/>
  <c r="E59" i="1"/>
  <c r="E19" i="1"/>
  <c r="B19" i="1"/>
  <c r="B59" i="1"/>
  <c r="B79" i="1"/>
  <c r="E79" i="1"/>
  <c r="E39" i="1"/>
  <c r="B39" i="1"/>
  <c r="H17" i="1" l="1"/>
  <c r="H24" i="1" s="1"/>
  <c r="B17" i="1"/>
  <c r="B81" i="1"/>
  <c r="B84" i="1" s="1"/>
  <c r="E81" i="1"/>
  <c r="E84" i="1" s="1"/>
  <c r="B61" i="1"/>
  <c r="B64" i="1" s="1"/>
  <c r="E61" i="1"/>
  <c r="E64" i="1" s="1"/>
  <c r="B41" i="1"/>
  <c r="B44" i="1" s="1"/>
  <c r="E41" i="1"/>
  <c r="E44" i="1" s="1"/>
  <c r="D77" i="3"/>
  <c r="D73" i="3"/>
  <c r="D69" i="3"/>
  <c r="D65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5" i="3"/>
  <c r="D72" i="3"/>
  <c r="D68" i="3"/>
  <c r="D64" i="3"/>
  <c r="D60" i="3"/>
  <c r="D56" i="3"/>
  <c r="D52" i="3"/>
  <c r="D48" i="3"/>
  <c r="D44" i="3"/>
  <c r="D40" i="3"/>
  <c r="D36" i="3"/>
  <c r="D32" i="3"/>
  <c r="D28" i="3"/>
  <c r="D24" i="3"/>
  <c r="D20" i="3"/>
  <c r="D16" i="3"/>
  <c r="D12" i="3"/>
  <c r="D8" i="3"/>
  <c r="D4" i="3"/>
  <c r="D76" i="3"/>
  <c r="D75" i="3"/>
  <c r="D67" i="3"/>
  <c r="D63" i="3"/>
  <c r="D59" i="3"/>
  <c r="D55" i="3"/>
  <c r="D51" i="3"/>
  <c r="D47" i="3"/>
  <c r="D43" i="3"/>
  <c r="D39" i="3"/>
  <c r="D35" i="3"/>
  <c r="D31" i="3"/>
  <c r="D27" i="3"/>
  <c r="D23" i="3"/>
  <c r="D19" i="3"/>
  <c r="D15" i="3"/>
  <c r="D11" i="3"/>
  <c r="D7" i="3"/>
  <c r="D3" i="3"/>
  <c r="D71" i="3"/>
  <c r="D78" i="3"/>
  <c r="D74" i="3"/>
  <c r="D70" i="3"/>
  <c r="D66" i="3"/>
  <c r="D62" i="3"/>
  <c r="D58" i="3"/>
  <c r="D54" i="3"/>
  <c r="D50" i="3"/>
  <c r="D46" i="3"/>
  <c r="D42" i="3"/>
  <c r="D38" i="3"/>
  <c r="D34" i="3"/>
  <c r="D30" i="3"/>
  <c r="D26" i="3"/>
  <c r="D22" i="3"/>
  <c r="D18" i="3"/>
  <c r="D14" i="3"/>
  <c r="D10" i="3"/>
  <c r="D6" i="3"/>
  <c r="D2" i="3"/>
  <c r="D1" i="3"/>
  <c r="E21" i="1"/>
  <c r="E24" i="1" s="1"/>
  <c r="B21" i="1"/>
  <c r="B24" i="1" s="1"/>
  <c r="I24" i="1" s="1"/>
  <c r="I44" i="1" l="1"/>
  <c r="I84" i="1"/>
  <c r="I6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59056D-566E-4780-998B-4B71C74EBF0E}" keepAlive="1" name="Query - tc_fullrepo_20240701" description="Connection to the 'tc_fullrepo_20240701' query in the workbook." type="5" refreshedVersion="8" background="1" saveData="1">
    <dbPr connection="Provider=Microsoft.Mashup.OleDb.1;Data Source=$Workbook$;Location=tc_fullrepo_20240701;Extended Properties=&quot;&quot;" command="SELECT * FROM [tc_fullrepo_2024070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<sst xmlns="http://schemas.openxmlformats.org/spreadsheetml/2006/main" count="404" uniqueCount="185">
  <si>
    <t>Between Room Temperature and Stage 1</t>
  </si>
  <si>
    <t>Material</t>
  </si>
  <si>
    <t>OD</t>
  </si>
  <si>
    <t>Length</t>
  </si>
  <si>
    <t>Support Cylinder</t>
  </si>
  <si>
    <t xml:space="preserve">ConInt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</si>
  <si>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</si>
  <si>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</si>
  <si>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</si>
  <si>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</si>
  <si>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</si>
  <si>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</si>
  <si>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</si>
  <si>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</si>
  <si>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</si>
  <si>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</si>
  <si>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</si>
  <si>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</si>
  <si>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</si>
  <si>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</si>
  <si>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Brass</t>
  </si>
  <si>
    <t>CFRP</t>
  </si>
  <si>
    <t>Ketron</t>
  </si>
  <si>
    <t>??</t>
  </si>
  <si>
    <t>Lead</t>
  </si>
  <si>
    <t>Macor</t>
  </si>
  <si>
    <t>Molybdenum</t>
  </si>
  <si>
    <t>Platinum</t>
  </si>
  <si>
    <t>Teflon</t>
  </si>
  <si>
    <t>Torlon</t>
  </si>
  <si>
    <t>VESPEL</t>
  </si>
  <si>
    <t>powerlaw</t>
  </si>
  <si>
    <t>comppoly</t>
  </si>
  <si>
    <t>Stainless_Steel_304</t>
  </si>
  <si>
    <t>erf param</t>
  </si>
  <si>
    <t>Aluminum_1100</t>
  </si>
  <si>
    <t>0.00e+00</t>
  </si>
  <si>
    <t>Aluminum_3003F</t>
  </si>
  <si>
    <t>polylog</t>
  </si>
  <si>
    <t>Aluminum_5083O</t>
  </si>
  <si>
    <t>Aluminum_6061T6</t>
  </si>
  <si>
    <t>Aluminum_6063T5</t>
  </si>
  <si>
    <t>Beryllium_Copper</t>
  </si>
  <si>
    <t>CFRP_Clearwater</t>
  </si>
  <si>
    <t>CFRP_DPP</t>
  </si>
  <si>
    <t>CFRP_Graphlite</t>
  </si>
  <si>
    <t>Cu_OFHC_RRR100</t>
  </si>
  <si>
    <t>NIST-copperfit</t>
  </si>
  <si>
    <t>Cu_OFHC_RRR150</t>
  </si>
  <si>
    <t>Cu_OFHC_RRR300</t>
  </si>
  <si>
    <t>Cu_OFHC_RRR50</t>
  </si>
  <si>
    <t>Cu_OFHC_RRR500</t>
  </si>
  <si>
    <t>G10_CR_Normal</t>
  </si>
  <si>
    <t>G10_CR_Warp</t>
  </si>
  <si>
    <t>G10_FR4</t>
  </si>
  <si>
    <t>Glass_FabricPolyester_He_warp</t>
  </si>
  <si>
    <t>Glass_FabricPolyester_Ni_normal</t>
  </si>
  <si>
    <t>Glass_FabricPolyester_Ni_warp</t>
  </si>
  <si>
    <t>Graphite</t>
  </si>
  <si>
    <t>lowTextrapolate</t>
  </si>
  <si>
    <t>Graphite_a</t>
  </si>
  <si>
    <t>Graphite_brad</t>
  </si>
  <si>
    <t>Graphite_p</t>
  </si>
  <si>
    <t>Inconel_718</t>
  </si>
  <si>
    <t>Invar_Fe36Ni</t>
  </si>
  <si>
    <t>Kapton</t>
  </si>
  <si>
    <t>Kevlar49_Composite_Aramid</t>
  </si>
  <si>
    <t>NIST-experf</t>
  </si>
  <si>
    <t>Kevlar49_Fiber_Aramid</t>
  </si>
  <si>
    <t>Manganin</t>
  </si>
  <si>
    <t>MylarPET</t>
  </si>
  <si>
    <t>NbTi</t>
  </si>
  <si>
    <t>Nichrome</t>
  </si>
  <si>
    <t>Nickel_Steel_Fe_2.25_Ni</t>
  </si>
  <si>
    <t>Nickel_Steel_Fe_3.25_Ni</t>
  </si>
  <si>
    <t>Nickel_Steel_Fe_5.0_Ni</t>
  </si>
  <si>
    <t>Nickel_Steel_Fe_9.0_Ni</t>
  </si>
  <si>
    <t>Nylon</t>
  </si>
  <si>
    <t>Phosphorbronze</t>
  </si>
  <si>
    <t>Polystyrene_1.99_lbft3_Freon</t>
  </si>
  <si>
    <t>Polystyrene_2.0_lbft3</t>
  </si>
  <si>
    <t>Polystyrene_3.12_lbft3</t>
  </si>
  <si>
    <t>Polystyrene_6.24_lbft3</t>
  </si>
  <si>
    <t>Polyurethane_1.99_lbft3_Freon</t>
  </si>
  <si>
    <t>Polyurethane_2.0_lbft3_CO2</t>
  </si>
  <si>
    <t>Polyurethane_3.06_lbft3_He</t>
  </si>
  <si>
    <t>Polyurethane_4.00_lbft3_Freon</t>
  </si>
  <si>
    <t>PVC_1.25_lbft3_air</t>
  </si>
  <si>
    <t>PVC_3.5_lbft3_CO2</t>
  </si>
  <si>
    <t>Stainless_Steel</t>
  </si>
  <si>
    <t>Stainless_Steel_304L</t>
  </si>
  <si>
    <t>Stainless_Steel_310_lo</t>
  </si>
  <si>
    <t>Stainless_Steel_310_hi</t>
  </si>
  <si>
    <t>Ti6Al4V</t>
  </si>
  <si>
    <t>Titanium_15333</t>
  </si>
  <si>
    <t>Wood_Balsa_11_lbft3</t>
  </si>
  <si>
    <t>Wood_Balsa_6_lbft3</t>
  </si>
  <si>
    <t>Wood_Beechwood_flatwise</t>
  </si>
  <si>
    <t>Wood_Beechwood_grain</t>
  </si>
  <si>
    <t>Wood_MapleOak</t>
  </si>
  <si>
    <t>Nppoly</t>
  </si>
  <si>
    <t>Area</t>
  </si>
  <si>
    <t>ID</t>
  </si>
  <si>
    <t>Number of Parts</t>
  </si>
  <si>
    <t>Power per Part</t>
  </si>
  <si>
    <t>Global Variables</t>
  </si>
  <si>
    <t>Thickness</t>
  </si>
  <si>
    <t>A.1</t>
  </si>
  <si>
    <t>B.1</t>
  </si>
  <si>
    <t>C.1</t>
  </si>
  <si>
    <t>D.1</t>
  </si>
  <si>
    <t>6.458</t>
  </si>
  <si>
    <t>2.0</t>
  </si>
  <si>
    <t>1.0</t>
  </si>
  <si>
    <t>0.5</t>
  </si>
  <si>
    <t>1.5</t>
  </si>
  <si>
    <t>14.228</t>
  </si>
  <si>
    <t>4.852</t>
  </si>
  <si>
    <t>7.990</t>
  </si>
  <si>
    <t>5.398</t>
  </si>
  <si>
    <t>Constantan_lo</t>
  </si>
  <si>
    <t>2.256</t>
  </si>
  <si>
    <t>Constantan_hi</t>
  </si>
  <si>
    <t>2.167</t>
  </si>
  <si>
    <t>Cu_OFHC</t>
  </si>
  <si>
    <t>1660.166</t>
  </si>
  <si>
    <t>5.0</t>
  </si>
  <si>
    <t>4.296</t>
  </si>
  <si>
    <t>27.067</t>
  </si>
  <si>
    <t>Kaptona</t>
  </si>
  <si>
    <t>15.979</t>
  </si>
  <si>
    <t>7</t>
  </si>
  <si>
    <t>3</t>
  </si>
  <si>
    <t>4.722</t>
  </si>
  <si>
    <t>9.354</t>
  </si>
  <si>
    <t>3.0</t>
  </si>
  <si>
    <t>23.505</t>
  </si>
  <si>
    <t>4.045</t>
  </si>
  <si>
    <t>6.148</t>
  </si>
  <si>
    <t>3.953</t>
  </si>
  <si>
    <t>2.293</t>
  </si>
  <si>
    <t>2.268</t>
  </si>
  <si>
    <t>Stainless_Steel_316_lo</t>
  </si>
  <si>
    <t>3.380</t>
  </si>
  <si>
    <t>Stainless_Steel_316_hi</t>
  </si>
  <si>
    <t>3.392</t>
  </si>
  <si>
    <t>Stainless_Steel_321</t>
  </si>
  <si>
    <t>4.704</t>
  </si>
  <si>
    <t>11.491</t>
  </si>
  <si>
    <t>3.265</t>
  </si>
  <si>
    <t>26.714</t>
  </si>
  <si>
    <t>Room</t>
  </si>
  <si>
    <t>PTC1</t>
  </si>
  <si>
    <t>PTC2</t>
  </si>
  <si>
    <t>Still</t>
  </si>
  <si>
    <t>MC</t>
  </si>
  <si>
    <t>Constants</t>
  </si>
  <si>
    <t>SBC</t>
  </si>
  <si>
    <t>A/L for 1 leg</t>
  </si>
  <si>
    <t>Diameter of wire</t>
  </si>
  <si>
    <t>Housekeeping Cable</t>
  </si>
  <si>
    <t>Radiation</t>
  </si>
  <si>
    <t>top SA</t>
  </si>
  <si>
    <t>bottom CSA</t>
  </si>
  <si>
    <t>bottom SA</t>
  </si>
  <si>
    <t>Total SA</t>
  </si>
  <si>
    <t>Emissivity of Al - Outer</t>
  </si>
  <si>
    <t>Emissivity of Al - Inner</t>
  </si>
  <si>
    <t>top SA (Surface Area)</t>
  </si>
  <si>
    <t>top CSA (Curved Surface Area)</t>
  </si>
  <si>
    <t>Between Stage 1 and Stage 2</t>
  </si>
  <si>
    <t>Between Stage 2 and Still</t>
  </si>
  <si>
    <t xml:space="preserve">top SA </t>
  </si>
  <si>
    <t>CSA</t>
  </si>
  <si>
    <t xml:space="preserve">top CSA </t>
  </si>
  <si>
    <t xml:space="preserve">CSA </t>
  </si>
  <si>
    <t>Between Still and MXC</t>
  </si>
  <si>
    <t>Still bottom SA</t>
  </si>
  <si>
    <t>middle top SA</t>
  </si>
  <si>
    <t>middle bottom SA</t>
  </si>
  <si>
    <t>MXC top SA</t>
  </si>
  <si>
    <t>MXC bottom SA</t>
  </si>
  <si>
    <t>Power Total (W)</t>
  </si>
  <si>
    <t>Bluefors LD-400 Thermal Model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</si>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</sst>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General\ &quot;in&quot;"/>
    <numFmt numFmtId="165" formatCode="General\ &quot;K&quot;"/>
    <numFmt numFmtId="166" formatCode="General\ &quot;m&quot;"/>
    <numFmt numFmtId="167" formatCode="General\ &quot;m^2&quot;"/>
    <numFmt numFmtId="168" formatCode="General\ &quot;W/m&quot;"/>
    <numFmt numFmtId="169" formatCode="General\ &quot;W&quot;"/>
    <numFmt numFmtId="170" formatCode="General\ &quot;mm&quot;"/>
    <numFmt numFmtId="171" formatCode="General\ &quot;mm^2&quot;"/>
  </numFmts>
  <fonts count="10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0"/>
      <name val="Arial"/>
      <family val="2"/>
    </font>
    <font>
      <sz val="10"/>
      <color rgb="FF0070C0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 (Body)"/>
    </font>
    <font>
      <b/>
      <sz val="20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FF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/>
    </xf>
    <xf numFmtId="167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7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7" fontId="2" fillId="0" borderId="3" xfId="0" applyNumberFormat="1" applyFont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7" fontId="5" fillId="0" borderId="13" xfId="0" applyNumberFormat="1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70" fontId="1" fillId="0" borderId="3" xfId="0" applyNumberFormat="1" applyFon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2" fillId="0" borderId="3" xfId="0" applyNumberFormat="1" applyFont="1" applyBorder="1" applyAlignment="1">
      <alignment horizontal="center" vertical="center"/>
    </xf>
    <xf numFmtId="166" fontId="2" fillId="0" borderId="3" xfId="0" applyNumberFormat="1" applyFont="1" applyBorder="1" applyAlignment="1">
      <alignment horizontal="center" vertical="center"/>
    </xf>
    <xf numFmtId="169" fontId="2" fillId="0" borderId="3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6" fontId="1" fillId="0" borderId="3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165" fontId="1" fillId="2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11" fontId="0" fillId="5" borderId="16" xfId="0" applyNumberFormat="1" applyFill="1" applyBorder="1" applyAlignment="1">
      <alignment horizontal="center" vertical="center"/>
    </xf>
    <xf numFmtId="11" fontId="0" fillId="5" borderId="17" xfId="0" applyNumberFormat="1" applyFill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165" fontId="1" fillId="7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11" fontId="0" fillId="5" borderId="19" xfId="0" applyNumberForma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1" fontId="0" fillId="8" borderId="10" xfId="0" applyNumberFormat="1" applyFill="1" applyBorder="1" applyAlignment="1">
      <alignment horizontal="center" vertical="center"/>
    </xf>
    <xf numFmtId="11" fontId="0" fillId="8" borderId="1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F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27B7E3-EE4A-4E3A-97B0-769A19B8993C}" autoFormatId="16" applyNumberFormats="0" applyBorderFormats="0" applyFontFormats="0" applyPatternFormats="0" applyAlignmentFormats="0" applyWidthHeightFormats="0">
  <queryTableRefresh nextId="20">
    <queryTableFields count="19">
      <queryTableField id="1" name="Material Name" tableColumnId="1"/>
      <queryTableField id="2" name="Fit Type" tableColumnId="2"/>
      <queryTableField id="3" name="Low Temp" tableColumnId="3"/>
      <queryTableField id="4" name="High Temp" tableColumnId="4"/>
      <queryTableField id="5" name="Perc Err" tableColumnId="5"/>
      <queryTableField id="6" name="erf param" tableColumnId="6"/>
      <queryTableField id="7" name="a" tableColumnId="7"/>
      <queryTableField id="8" name="b" tableColumnId="8"/>
      <queryTableField id="9" name="c" tableColumnId="9"/>
      <queryTableField id="10" name="d" tableColumnId="10"/>
      <queryTableField id="11" name="e" tableColumnId="11"/>
      <queryTableField id="12" name="f" tableColumnId="12"/>
      <queryTableField id="13" name="g" tableColumnId="13"/>
      <queryTableField id="14" name="h" tableColumnId="14"/>
      <queryTableField id="15" name="i" tableColumnId="15"/>
      <queryTableField id="16" name="A.1" tableColumnId="16"/>
      <queryTableField id="17" name="B.1" tableColumnId="17"/>
      <queryTableField id="18" name="C.1" tableColumnId="18"/>
      <queryTableField id="19" name="D.1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B235E-440C-4183-B560-DF9F7E45717B}" name="tc_fullrepo_20240701" displayName="tc_fullrepo_20240701" ref="A1:S79" tableType="queryTable" totalsRowShown="0">
  <autoFilter ref="A1:S79" xr:uid="{F78B235E-440C-4183-B560-DF9F7E45717B}"/>
  <tableColumns count="19">
    <tableColumn id="1" xr3:uid="{F9AFA809-252B-4331-88DA-6E94E6292597}" uniqueName="1" name="Material Name" queryTableFieldId="1" dataDxfId="2"/>
    <tableColumn id="2" xr3:uid="{3D86429E-DD04-40DB-B6D7-1DA745489148}" uniqueName="2" name="Fit Type" queryTableFieldId="2" dataDxfId="1"/>
    <tableColumn id="3" xr3:uid="{F1D9BA6C-C1A1-4266-A9D5-0D4BE13F3800}" uniqueName="3" name="Low Temp" queryTableFieldId="3"/>
    <tableColumn id="4" xr3:uid="{6A585834-60A6-4C7B-A96F-6F1DDD9B0A55}" uniqueName="4" name="High Temp" queryTableFieldId="4"/>
    <tableColumn id="5" xr3:uid="{D68EE630-D7F4-420F-B562-5CC098780C28}" uniqueName="5" name="Perc Err" queryTableFieldId="5" dataDxfId="0"/>
    <tableColumn id="6" xr3:uid="{A5381C87-1528-4CAB-A7CA-F03524FF9C17}" uniqueName="6" name="erf param" queryTableFieldId="6"/>
    <tableColumn id="7" xr3:uid="{2DD44F0D-F2B7-4CA7-A856-AAAB59A0BEF3}" uniqueName="7" name="a" queryTableFieldId="7"/>
    <tableColumn id="8" xr3:uid="{5D68DF69-3081-4F2C-94EF-4DA6DEA92AAF}" uniqueName="8" name="b" queryTableFieldId="8"/>
    <tableColumn id="9" xr3:uid="{EA015B8E-999A-4501-8FEF-DC4FC6710273}" uniqueName="9" name="c" queryTableFieldId="9"/>
    <tableColumn id="10" xr3:uid="{4B686E88-0826-4195-BE92-ECC6A0D3CB6D}" uniqueName="10" name="d" queryTableFieldId="10"/>
    <tableColumn id="11" xr3:uid="{1FB2E9A8-C82D-4814-A2B6-50B5508BC9E4}" uniqueName="11" name="e" queryTableFieldId="11"/>
    <tableColumn id="12" xr3:uid="{962ADB57-3D5A-424C-930B-D7BBBC01063E}" uniqueName="12" name="f" queryTableFieldId="12"/>
    <tableColumn id="13" xr3:uid="{0DBBF2CB-E577-4D24-932B-23C7ADA08F97}" uniqueName="13" name="g" queryTableFieldId="13"/>
    <tableColumn id="14" xr3:uid="{4DBD4337-1C5C-4DD8-AC6C-94F9FA67EE16}" uniqueName="14" name="h" queryTableFieldId="14"/>
    <tableColumn id="15" xr3:uid="{E8F6C7AB-5635-4DE1-8B66-8960DE5870B9}" uniqueName="15" name="i" queryTableFieldId="15"/>
    <tableColumn id="16" xr3:uid="{E4792D40-D47C-4A89-A642-7BB87158EB57}" uniqueName="16" name="A.1" queryTableFieldId="16"/>
    <tableColumn id="17" xr3:uid="{AA083CFF-A19C-42CB-9B72-6983A13B69E6}" uniqueName="17" name="B.1" queryTableFieldId="17"/>
    <tableColumn id="18" xr3:uid="{C34F6318-0A27-4ECA-A915-78F5DED59192}" uniqueName="18" name="C.1" queryTableFieldId="18"/>
    <tableColumn id="19" xr3:uid="{427C2DE7-102D-429A-8A51-74B4473E3C43}" uniqueName="19" name="D.1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Q84"/>
  <sheetViews>
    <sheetView tabSelected="1" zoomScale="87" zoomScaleNormal="70" workbookViewId="0">
      <selection activeCell="K16" sqref="K16"/>
    </sheetView>
  </sheetViews>
  <sheetFormatPr defaultColWidth="8.77734375" defaultRowHeight="14.4"/>
  <cols>
    <col min="1" max="1" width="21.44140625" style="1" customWidth="1"/>
    <col min="2" max="2" width="23.109375" style="1" customWidth="1"/>
    <col min="3" max="3" width="14.77734375" style="1" customWidth="1"/>
    <col min="4" max="4" width="16.77734375" style="1" customWidth="1"/>
    <col min="5" max="5" width="16.44140625" style="1" customWidth="1"/>
    <col min="6" max="6" width="8.77734375" style="1"/>
    <col min="7" max="7" width="26.109375" style="1" customWidth="1"/>
    <col min="8" max="9" width="16.77734375" style="1" customWidth="1"/>
    <col min="10" max="16384" width="8.77734375" style="1"/>
  </cols>
  <sheetData>
    <row r="1" spans="1:10" ht="25.8">
      <c r="A1" s="57" t="s">
        <v>183</v>
      </c>
      <c r="B1" s="58"/>
      <c r="C1" s="58"/>
      <c r="D1" s="58"/>
      <c r="E1" s="58"/>
      <c r="F1" s="58"/>
      <c r="G1" s="58"/>
      <c r="H1" s="58"/>
      <c r="I1" s="58"/>
    </row>
    <row r="2" spans="1:10">
      <c r="B2" s="46" t="s">
        <v>151</v>
      </c>
      <c r="C2" s="46" t="s">
        <v>152</v>
      </c>
      <c r="D2" s="46" t="s">
        <v>153</v>
      </c>
      <c r="E2" s="46" t="s">
        <v>154</v>
      </c>
      <c r="F2" s="46" t="s">
        <v>155</v>
      </c>
      <c r="J2" s="46" t="s">
        <v>157</v>
      </c>
    </row>
    <row r="3" spans="1:10">
      <c r="A3" s="46" t="s">
        <v>105</v>
      </c>
      <c r="B3" s="35">
        <v>300</v>
      </c>
      <c r="C3" s="36">
        <v>40</v>
      </c>
      <c r="D3" s="42">
        <v>3</v>
      </c>
      <c r="E3" s="37">
        <v>1</v>
      </c>
      <c r="F3" s="43">
        <v>0.1</v>
      </c>
      <c r="I3" s="46" t="s">
        <v>156</v>
      </c>
      <c r="J3" s="5">
        <v>5.6699999999999998E-8</v>
      </c>
    </row>
    <row r="6" spans="1:10" ht="15" thickBot="1"/>
    <row r="7" spans="1:10">
      <c r="A7" s="59" t="s">
        <v>0</v>
      </c>
      <c r="B7" s="60"/>
      <c r="C7" s="61"/>
      <c r="D7" s="61"/>
      <c r="E7" s="61"/>
      <c r="F7" s="61"/>
      <c r="G7" s="61"/>
      <c r="H7" s="62"/>
      <c r="I7" s="63"/>
    </row>
    <row r="8" spans="1:10">
      <c r="A8" s="15"/>
      <c r="H8" s="48"/>
      <c r="I8" s="16"/>
    </row>
    <row r="9" spans="1:10">
      <c r="A9" s="55" t="s">
        <v>4</v>
      </c>
      <c r="B9" s="56"/>
      <c r="C9" s="44"/>
      <c r="D9" s="56" t="s">
        <v>160</v>
      </c>
      <c r="E9" s="56"/>
      <c r="F9" s="45"/>
      <c r="G9" s="56" t="s">
        <v>161</v>
      </c>
      <c r="H9" s="56"/>
      <c r="I9" s="49"/>
    </row>
    <row r="10" spans="1:10">
      <c r="A10" s="15" t="s">
        <v>1</v>
      </c>
      <c r="B10" s="23" t="s">
        <v>144</v>
      </c>
      <c r="D10" s="6" t="s">
        <v>1</v>
      </c>
      <c r="E10" s="9" t="s">
        <v>69</v>
      </c>
      <c r="G10" s="6"/>
      <c r="H10" s="9"/>
      <c r="I10" s="18"/>
    </row>
    <row r="11" spans="1:10">
      <c r="A11" s="15"/>
      <c r="B11" s="7"/>
      <c r="C11" s="10"/>
      <c r="D11" s="6"/>
      <c r="E11" s="7"/>
      <c r="G11" s="6"/>
      <c r="H11" s="7"/>
      <c r="I11" s="17"/>
    </row>
    <row r="12" spans="1:10">
      <c r="A12" s="15" t="s">
        <v>2</v>
      </c>
      <c r="B12" s="24">
        <v>10</v>
      </c>
      <c r="C12" s="11"/>
      <c r="D12" s="6" t="s">
        <v>159</v>
      </c>
      <c r="E12" s="24">
        <v>0.1007</v>
      </c>
      <c r="G12" s="2" t="s">
        <v>168</v>
      </c>
      <c r="H12" s="3">
        <f>166000/1000000</f>
        <v>0.16600000000000001</v>
      </c>
      <c r="I12" s="19"/>
    </row>
    <row r="13" spans="1:10">
      <c r="A13" s="15" t="s">
        <v>102</v>
      </c>
      <c r="B13" s="24">
        <v>9</v>
      </c>
      <c r="C13" s="11"/>
      <c r="D13" s="6"/>
      <c r="E13" s="30"/>
      <c r="G13" s="2" t="s">
        <v>169</v>
      </c>
      <c r="H13" s="3">
        <f>679000/1000000</f>
        <v>0.67900000000000005</v>
      </c>
      <c r="I13" s="19"/>
    </row>
    <row r="14" spans="1:10">
      <c r="A14" s="15" t="s">
        <v>106</v>
      </c>
      <c r="B14" s="25">
        <f>(B12/2)-(B13/2)</f>
        <v>0.5</v>
      </c>
      <c r="C14" s="11"/>
      <c r="D14" s="6"/>
      <c r="E14" s="7"/>
      <c r="G14" s="2" t="s">
        <v>163</v>
      </c>
      <c r="H14" s="3">
        <f>1218000/1000000</f>
        <v>1.218</v>
      </c>
      <c r="I14" s="19"/>
    </row>
    <row r="15" spans="1:10">
      <c r="A15" s="15" t="s">
        <v>101</v>
      </c>
      <c r="B15" s="26">
        <f>(PI()*(B12/2)^2)-(PI()*(B13/2)^2)</f>
        <v>14.922565104551524</v>
      </c>
      <c r="C15" s="11"/>
      <c r="D15" s="6" t="s">
        <v>101</v>
      </c>
      <c r="E15" s="26">
        <f>PI()*((E12/2)^2)</f>
        <v>7.9643222219501902E-3</v>
      </c>
      <c r="G15" s="2" t="s">
        <v>164</v>
      </c>
      <c r="H15" s="3">
        <f>135000/1000000</f>
        <v>0.13500000000000001</v>
      </c>
      <c r="I15" s="19"/>
    </row>
    <row r="16" spans="1:10">
      <c r="A16" s="15" t="s">
        <v>3</v>
      </c>
      <c r="B16" s="24">
        <f>176</f>
        <v>176</v>
      </c>
      <c r="C16" s="8"/>
      <c r="D16" s="6" t="s">
        <v>3</v>
      </c>
      <c r="E16" s="24">
        <v>320</v>
      </c>
      <c r="G16" s="6"/>
      <c r="H16" s="7"/>
      <c r="I16" s="17"/>
    </row>
    <row r="17" spans="1:17">
      <c r="A17" s="15" t="s">
        <v>158</v>
      </c>
      <c r="B17" s="27">
        <f>B15/B16/1000</f>
        <v>8.478730173040638E-5</v>
      </c>
      <c r="C17" s="8"/>
      <c r="D17" s="6" t="s">
        <v>158</v>
      </c>
      <c r="E17" s="27">
        <f>E15/E16/1000</f>
        <v>2.4888506943594346E-8</v>
      </c>
      <c r="G17" s="2" t="s">
        <v>165</v>
      </c>
      <c r="H17" s="12">
        <f>H12+H13+H14+H15</f>
        <v>2.1980000000000004</v>
      </c>
      <c r="I17" s="20"/>
    </row>
    <row r="18" spans="1:17">
      <c r="A18" s="15"/>
      <c r="B18" s="9"/>
      <c r="C18" s="8"/>
      <c r="D18" s="6"/>
      <c r="E18" s="9"/>
      <c r="G18" s="6"/>
      <c r="H18" s="9"/>
      <c r="I18" s="18"/>
    </row>
    <row r="19" spans="1:17">
      <c r="A19" s="15" t="s">
        <v>5</v>
      </c>
      <c r="B19" s="13">
        <f>ConInt(B10,T_Room,T_PTC1)</f>
        <v>2217.638925253977</v>
      </c>
      <c r="D19" s="6" t="s">
        <v>5</v>
      </c>
      <c r="E19" s="13">
        <f>ConInt(E10,T_Room,T_PTC1)</f>
        <v>4309.5236471085545</v>
      </c>
      <c r="G19" s="6"/>
      <c r="H19" s="13"/>
      <c r="I19" s="21"/>
    </row>
    <row r="20" spans="1:17">
      <c r="A20" s="15"/>
      <c r="B20" s="7"/>
      <c r="D20" s="6"/>
      <c r="E20" s="7"/>
      <c r="G20" s="6"/>
      <c r="H20" s="7"/>
      <c r="I20" s="17"/>
    </row>
    <row r="21" spans="1:17">
      <c r="A21" s="15" t="s">
        <v>104</v>
      </c>
      <c r="B21" s="28">
        <f>B17*B19</f>
        <v>0.18802762068460308</v>
      </c>
      <c r="D21" s="6" t="s">
        <v>104</v>
      </c>
      <c r="E21" s="28">
        <f>E17*E19</f>
        <v>1.0725760921464529E-4</v>
      </c>
      <c r="G21" s="2" t="s">
        <v>166</v>
      </c>
      <c r="H21" s="4">
        <v>0.05</v>
      </c>
      <c r="I21" s="22"/>
    </row>
    <row r="22" spans="1:17">
      <c r="A22" s="31" t="s">
        <v>103</v>
      </c>
      <c r="B22" s="29">
        <v>4</v>
      </c>
      <c r="D22" s="14" t="s">
        <v>103</v>
      </c>
      <c r="E22" s="29">
        <v>50</v>
      </c>
      <c r="G22" s="34" t="s">
        <v>167</v>
      </c>
      <c r="H22" s="50">
        <v>0.05</v>
      </c>
      <c r="I22" s="22"/>
      <c r="J22" s="64"/>
      <c r="K22" s="64"/>
      <c r="L22" s="64"/>
      <c r="M22" s="64"/>
      <c r="N22" s="64"/>
      <c r="O22" s="64"/>
      <c r="P22" s="64"/>
      <c r="Q22" s="64"/>
    </row>
    <row r="23" spans="1:17">
      <c r="A23" s="15"/>
      <c r="H23" s="8"/>
      <c r="I23" s="52" t="s">
        <v>184</v>
      </c>
      <c r="J23" s="64"/>
      <c r="K23" s="64"/>
      <c r="L23" s="64"/>
      <c r="M23" s="64"/>
      <c r="N23" s="64"/>
      <c r="O23" s="64"/>
      <c r="P23" s="64"/>
      <c r="Q23" s="64"/>
    </row>
    <row r="24" spans="1:17" ht="15" thickBot="1">
      <c r="A24" s="38" t="s">
        <v>182</v>
      </c>
      <c r="B24" s="40">
        <f>B21*B22</f>
        <v>0.7521104827384123</v>
      </c>
      <c r="C24" s="39"/>
      <c r="D24" s="39" t="s">
        <v>182</v>
      </c>
      <c r="E24" s="40">
        <f>E21*E22</f>
        <v>5.3628804607322644E-3</v>
      </c>
      <c r="F24" s="47"/>
      <c r="G24" s="39" t="s">
        <v>182</v>
      </c>
      <c r="H24" s="51">
        <f>H17*C_SB*(T_Room^4-T_PTC1^4)/(1/H21+1/H22-1)</f>
        <v>25.875805536000005</v>
      </c>
      <c r="I24" s="41">
        <f>B24+E24+H24</f>
        <v>26.633278899199148</v>
      </c>
      <c r="J24" s="64"/>
      <c r="K24" s="64"/>
      <c r="L24" s="64"/>
      <c r="M24" s="64"/>
      <c r="N24" s="64"/>
      <c r="O24" s="64"/>
      <c r="P24" s="64"/>
      <c r="Q24" s="64"/>
    </row>
    <row r="25" spans="1:17">
      <c r="J25" s="64"/>
      <c r="K25" s="64"/>
      <c r="L25" s="64"/>
      <c r="M25" s="64"/>
      <c r="N25" s="64"/>
      <c r="O25" s="64"/>
      <c r="P25" s="64"/>
      <c r="Q25" s="64"/>
    </row>
    <row r="26" spans="1:17" ht="15" thickBot="1">
      <c r="J26" s="64"/>
      <c r="K26" s="64"/>
      <c r="L26" s="64"/>
      <c r="M26" s="64"/>
      <c r="N26" s="64"/>
      <c r="O26" s="64"/>
      <c r="P26" s="64"/>
      <c r="Q26" s="64"/>
    </row>
    <row r="27" spans="1:17">
      <c r="A27" s="59" t="s">
        <v>170</v>
      </c>
      <c r="B27" s="60"/>
      <c r="C27" s="61"/>
      <c r="D27" s="61"/>
      <c r="E27" s="61"/>
      <c r="F27" s="61"/>
      <c r="G27" s="61"/>
      <c r="H27" s="62"/>
      <c r="I27" s="63"/>
      <c r="J27" s="64"/>
      <c r="K27" s="64"/>
      <c r="L27" s="64"/>
      <c r="M27" s="64"/>
      <c r="N27" s="64"/>
      <c r="O27" s="64"/>
      <c r="P27" s="64"/>
      <c r="Q27" s="64"/>
    </row>
    <row r="28" spans="1:17">
      <c r="A28" s="15"/>
      <c r="H28" s="48"/>
      <c r="I28" s="16"/>
      <c r="J28" s="64"/>
      <c r="K28" s="64"/>
      <c r="L28" s="64"/>
      <c r="M28" s="64"/>
      <c r="N28" s="64"/>
      <c r="O28" s="64"/>
      <c r="P28" s="64"/>
      <c r="Q28" s="64"/>
    </row>
    <row r="29" spans="1:17">
      <c r="A29" s="55" t="s">
        <v>4</v>
      </c>
      <c r="B29" s="56"/>
      <c r="C29" s="44"/>
      <c r="D29" s="56" t="s">
        <v>160</v>
      </c>
      <c r="E29" s="56"/>
      <c r="F29" s="45"/>
      <c r="G29" s="56" t="s">
        <v>161</v>
      </c>
      <c r="H29" s="56"/>
      <c r="I29" s="49"/>
      <c r="J29" s="64"/>
      <c r="K29" s="64"/>
      <c r="L29" s="64"/>
      <c r="M29" s="64"/>
      <c r="N29" s="64"/>
      <c r="O29" s="64"/>
      <c r="P29" s="64"/>
      <c r="Q29" s="64"/>
    </row>
    <row r="30" spans="1:17" ht="14.55" customHeight="1">
      <c r="A30" s="15" t="s">
        <v>1</v>
      </c>
      <c r="B30" s="23" t="s">
        <v>33</v>
      </c>
      <c r="D30" s="6" t="s">
        <v>1</v>
      </c>
      <c r="E30" s="9" t="s">
        <v>69</v>
      </c>
      <c r="G30" s="6"/>
      <c r="H30" s="53"/>
      <c r="I30" s="18"/>
      <c r="J30" s="64"/>
      <c r="K30" s="64"/>
      <c r="L30" s="64"/>
      <c r="M30" s="64"/>
      <c r="N30" s="64"/>
      <c r="O30" s="64"/>
      <c r="P30" s="64"/>
      <c r="Q30" s="64"/>
    </row>
    <row r="31" spans="1:17">
      <c r="A31" s="15"/>
      <c r="B31" s="7"/>
      <c r="C31" s="10"/>
      <c r="D31" s="6"/>
      <c r="E31" s="7"/>
      <c r="G31" s="6"/>
      <c r="H31" s="7"/>
      <c r="I31" s="17"/>
      <c r="J31" s="64"/>
      <c r="K31" s="64"/>
      <c r="L31" s="64"/>
      <c r="M31" s="64"/>
      <c r="N31" s="64"/>
      <c r="O31" s="64"/>
      <c r="P31" s="64"/>
      <c r="Q31" s="64"/>
    </row>
    <row r="32" spans="1:17">
      <c r="A32" s="15" t="s">
        <v>2</v>
      </c>
      <c r="B32" s="24">
        <v>14</v>
      </c>
      <c r="C32" s="11"/>
      <c r="D32" s="6" t="s">
        <v>159</v>
      </c>
      <c r="E32" s="24">
        <v>0.1007</v>
      </c>
      <c r="G32" s="2" t="s">
        <v>172</v>
      </c>
      <c r="H32" s="3">
        <v>0.130741</v>
      </c>
      <c r="I32" s="19"/>
      <c r="J32" s="64"/>
      <c r="K32" s="64"/>
      <c r="L32" s="64"/>
      <c r="M32" s="64"/>
      <c r="N32" s="64"/>
      <c r="O32" s="64"/>
      <c r="P32" s="64"/>
      <c r="Q32" s="64"/>
    </row>
    <row r="33" spans="1:17">
      <c r="A33" s="15" t="s">
        <v>102</v>
      </c>
      <c r="B33" s="24">
        <v>13</v>
      </c>
      <c r="C33" s="11"/>
      <c r="D33" s="6"/>
      <c r="E33" s="30"/>
      <c r="G33" s="2" t="s">
        <v>174</v>
      </c>
      <c r="H33" s="3">
        <v>0.34631873000000002</v>
      </c>
      <c r="I33" s="19"/>
      <c r="J33" s="64"/>
      <c r="K33" s="64"/>
      <c r="L33" s="64"/>
      <c r="M33" s="64"/>
      <c r="N33" s="64"/>
      <c r="O33" s="64"/>
      <c r="P33" s="64"/>
      <c r="Q33" s="64"/>
    </row>
    <row r="34" spans="1:17">
      <c r="A34" s="15" t="s">
        <v>106</v>
      </c>
      <c r="B34" s="25">
        <f>(B32/2)-(B33/2)</f>
        <v>0.5</v>
      </c>
      <c r="C34" s="11"/>
      <c r="D34" s="6"/>
      <c r="E34" s="7"/>
      <c r="G34" s="2" t="s">
        <v>163</v>
      </c>
      <c r="H34" s="3">
        <v>1.04405177</v>
      </c>
      <c r="I34" s="19"/>
    </row>
    <row r="35" spans="1:17">
      <c r="A35" s="15" t="s">
        <v>101</v>
      </c>
      <c r="B35" s="26">
        <f>(PI()*(B32/2)^2)-(PI()*(B33/2)^2)</f>
        <v>21.205750411731088</v>
      </c>
      <c r="C35" s="11"/>
      <c r="D35" s="6" t="s">
        <v>101</v>
      </c>
      <c r="E35" s="26">
        <f>PI()*((E32/2)^2)</f>
        <v>7.9643222219501902E-3</v>
      </c>
      <c r="G35" s="2" t="s">
        <v>164</v>
      </c>
      <c r="H35" s="3">
        <v>0.104062</v>
      </c>
      <c r="I35" s="19"/>
    </row>
    <row r="36" spans="1:17">
      <c r="A36" s="15" t="s">
        <v>3</v>
      </c>
      <c r="B36" s="24">
        <v>276</v>
      </c>
      <c r="C36" s="8"/>
      <c r="D36" s="6" t="s">
        <v>3</v>
      </c>
      <c r="E36" s="24">
        <v>318</v>
      </c>
      <c r="G36" s="6"/>
      <c r="H36" s="7"/>
      <c r="I36" s="17"/>
    </row>
    <row r="37" spans="1:17">
      <c r="A37" s="15" t="s">
        <v>158</v>
      </c>
      <c r="B37" s="27">
        <f>B35/B36/1000</f>
        <v>7.6832429028011182E-5</v>
      </c>
      <c r="C37" s="8"/>
      <c r="D37" s="6" t="s">
        <v>158</v>
      </c>
      <c r="E37" s="27">
        <f>E35/E36/1000</f>
        <v>2.504503843380563E-8</v>
      </c>
      <c r="G37" s="2" t="s">
        <v>165</v>
      </c>
      <c r="H37" s="12">
        <f>H32+H33+H34+H35</f>
        <v>1.6251735</v>
      </c>
      <c r="I37" s="20"/>
    </row>
    <row r="38" spans="1:17">
      <c r="A38" s="15"/>
      <c r="B38" s="9"/>
      <c r="C38" s="8"/>
      <c r="D38" s="6"/>
      <c r="E38" s="9"/>
      <c r="G38" s="6"/>
      <c r="H38" s="9"/>
      <c r="I38" s="18"/>
    </row>
    <row r="39" spans="1:17">
      <c r="A39" s="15" t="s">
        <v>5</v>
      </c>
      <c r="B39" s="13">
        <f>ConInt(B30,T_PTC1,T_PTC2)</f>
        <v>91.976020077724442</v>
      </c>
      <c r="D39" s="6" t="s">
        <v>5</v>
      </c>
      <c r="E39" s="13">
        <f>ConInt(E30,T_PTC1,T_PTC2)</f>
        <v>178.29967268323651</v>
      </c>
      <c r="G39" s="6"/>
      <c r="H39" s="13"/>
      <c r="I39" s="21"/>
    </row>
    <row r="40" spans="1:17">
      <c r="A40" s="15"/>
      <c r="B40" s="7"/>
      <c r="D40" s="6"/>
      <c r="E40" s="7"/>
      <c r="G40" s="6"/>
      <c r="H40" s="7"/>
      <c r="I40" s="17"/>
    </row>
    <row r="41" spans="1:17">
      <c r="A41" s="15" t="s">
        <v>104</v>
      </c>
      <c r="B41" s="28">
        <f>B37*B39</f>
        <v>7.0667410349006948E-3</v>
      </c>
      <c r="D41" s="6" t="s">
        <v>104</v>
      </c>
      <c r="E41" s="28">
        <f>E37*E39</f>
        <v>4.4655221550866225E-6</v>
      </c>
      <c r="G41" s="2" t="s">
        <v>166</v>
      </c>
      <c r="H41" s="4">
        <v>0.05</v>
      </c>
      <c r="I41" s="22"/>
    </row>
    <row r="42" spans="1:17">
      <c r="A42" s="31" t="s">
        <v>103</v>
      </c>
      <c r="B42" s="29">
        <v>4</v>
      </c>
      <c r="D42" s="14" t="s">
        <v>103</v>
      </c>
      <c r="E42" s="29">
        <v>50</v>
      </c>
      <c r="G42" s="34" t="s">
        <v>167</v>
      </c>
      <c r="H42" s="50">
        <v>0.05</v>
      </c>
      <c r="I42" s="22"/>
    </row>
    <row r="43" spans="1:17">
      <c r="A43" s="15"/>
      <c r="H43" s="54"/>
      <c r="I43" s="52" t="s">
        <v>184</v>
      </c>
    </row>
    <row r="44" spans="1:17" ht="15" thickBot="1">
      <c r="A44" s="38" t="s">
        <v>182</v>
      </c>
      <c r="B44" s="40">
        <f>B41*B42</f>
        <v>2.8266964139602779E-2</v>
      </c>
      <c r="C44" s="39"/>
      <c r="D44" s="39" t="s">
        <v>182</v>
      </c>
      <c r="E44" s="40">
        <f>E41*E42</f>
        <v>2.2327610775433113E-4</v>
      </c>
      <c r="F44" s="39"/>
      <c r="G44" s="39" t="s">
        <v>182</v>
      </c>
      <c r="H44" s="51">
        <f>H37*C_SB*(T_PTC1^4-T_PTC2^4)/(1/H41+1/H42-1)</f>
        <v>6.0484543573760645E-3</v>
      </c>
      <c r="I44" s="41">
        <f>B44+E44+H44</f>
        <v>3.4538694604733175E-2</v>
      </c>
    </row>
    <row r="46" spans="1:17" ht="15" thickBot="1"/>
    <row r="47" spans="1:17">
      <c r="A47" s="59" t="s">
        <v>171</v>
      </c>
      <c r="B47" s="60"/>
      <c r="C47" s="61"/>
      <c r="D47" s="61"/>
      <c r="E47" s="61"/>
      <c r="F47" s="61"/>
      <c r="G47" s="61"/>
      <c r="H47" s="62"/>
      <c r="I47" s="63"/>
    </row>
    <row r="48" spans="1:17">
      <c r="A48" s="15"/>
      <c r="H48" s="48"/>
      <c r="I48" s="16"/>
    </row>
    <row r="49" spans="1:9">
      <c r="A49" s="55" t="s">
        <v>4</v>
      </c>
      <c r="B49" s="56"/>
      <c r="C49" s="44"/>
      <c r="D49" s="56" t="s">
        <v>160</v>
      </c>
      <c r="E49" s="56"/>
      <c r="F49" s="45"/>
      <c r="G49" s="56" t="s">
        <v>161</v>
      </c>
      <c r="H49" s="56"/>
      <c r="I49" s="49"/>
    </row>
    <row r="50" spans="1:9">
      <c r="A50" s="15" t="s">
        <v>1</v>
      </c>
      <c r="B50" s="23" t="s">
        <v>33</v>
      </c>
      <c r="D50" s="6" t="s">
        <v>1</v>
      </c>
      <c r="E50" s="9" t="s">
        <v>69</v>
      </c>
      <c r="G50" s="6"/>
      <c r="H50" s="53"/>
      <c r="I50" s="18"/>
    </row>
    <row r="51" spans="1:9">
      <c r="A51" s="15"/>
      <c r="B51" s="7"/>
      <c r="C51" s="10"/>
      <c r="D51" s="6"/>
      <c r="E51" s="7"/>
      <c r="G51" s="6"/>
      <c r="H51" s="7"/>
      <c r="I51" s="17"/>
    </row>
    <row r="52" spans="1:9">
      <c r="A52" s="15" t="s">
        <v>2</v>
      </c>
      <c r="B52" s="24">
        <v>14</v>
      </c>
      <c r="C52" s="11"/>
      <c r="D52" s="6" t="s">
        <v>159</v>
      </c>
      <c r="E52" s="24">
        <v>0.1007</v>
      </c>
      <c r="G52" s="2" t="s">
        <v>162</v>
      </c>
      <c r="H52" s="3">
        <v>8.0424800000000005E-2</v>
      </c>
      <c r="I52" s="19"/>
    </row>
    <row r="53" spans="1:9">
      <c r="A53" s="15" t="s">
        <v>102</v>
      </c>
      <c r="B53" s="24">
        <v>12</v>
      </c>
      <c r="C53" s="11"/>
      <c r="D53" s="6"/>
      <c r="E53" s="30"/>
      <c r="G53" s="2" t="s">
        <v>175</v>
      </c>
      <c r="H53" s="3">
        <v>0.88165656000000003</v>
      </c>
      <c r="I53" s="19"/>
    </row>
    <row r="54" spans="1:9">
      <c r="A54" s="15" t="s">
        <v>106</v>
      </c>
      <c r="B54" s="25">
        <f>(B52/2)-(B53/2)</f>
        <v>1</v>
      </c>
      <c r="C54" s="11"/>
      <c r="D54" s="6"/>
      <c r="E54" s="7"/>
      <c r="G54" s="2" t="s">
        <v>164</v>
      </c>
      <c r="H54" s="3">
        <v>8.0424800000000005E-2</v>
      </c>
      <c r="I54" s="19"/>
    </row>
    <row r="55" spans="1:9">
      <c r="A55" s="15" t="s">
        <v>101</v>
      </c>
      <c r="B55" s="26">
        <f>(PI()*(B52/2)^2)-(PI()*(B53/2)^2)</f>
        <v>40.8407044966673</v>
      </c>
      <c r="C55" s="11"/>
      <c r="D55" s="6" t="s">
        <v>101</v>
      </c>
      <c r="E55" s="26">
        <f>PI()*((E52/2)^2)</f>
        <v>7.9643222219501902E-3</v>
      </c>
      <c r="G55" s="2"/>
      <c r="H55" s="3"/>
      <c r="I55" s="19"/>
    </row>
    <row r="56" spans="1:9">
      <c r="A56" s="15" t="s">
        <v>3</v>
      </c>
      <c r="B56" s="24">
        <v>240</v>
      </c>
      <c r="C56" s="8"/>
      <c r="D56" s="6" t="s">
        <v>3</v>
      </c>
      <c r="E56" s="24">
        <v>292</v>
      </c>
      <c r="G56" s="6"/>
      <c r="H56" s="7"/>
      <c r="I56" s="17"/>
    </row>
    <row r="57" spans="1:9">
      <c r="A57" s="15" t="s">
        <v>158</v>
      </c>
      <c r="B57" s="27">
        <f>B55/B56/1000</f>
        <v>1.701696020694471E-4</v>
      </c>
      <c r="C57" s="8"/>
      <c r="D57" s="6" t="s">
        <v>158</v>
      </c>
      <c r="E57" s="27">
        <f>E55/E56/1000</f>
        <v>2.7275076102569144E-8</v>
      </c>
      <c r="G57" s="2" t="s">
        <v>165</v>
      </c>
      <c r="H57" s="12">
        <f>H52+H53+H54+H55</f>
        <v>1.0425061600000001</v>
      </c>
      <c r="I57" s="20"/>
    </row>
    <row r="58" spans="1:9">
      <c r="A58" s="15"/>
      <c r="B58" s="9"/>
      <c r="C58" s="8"/>
      <c r="D58" s="6"/>
      <c r="E58" s="9"/>
      <c r="G58" s="6"/>
      <c r="H58" s="9"/>
      <c r="I58" s="18"/>
    </row>
    <row r="59" spans="1:9">
      <c r="A59" s="15" t="s">
        <v>5</v>
      </c>
      <c r="B59" s="13">
        <f>ConInt(B50,T_PTC2,T_Still)</f>
        <v>0.30374162852358455</v>
      </c>
      <c r="D59" s="6" t="s">
        <v>5</v>
      </c>
      <c r="E59" s="13">
        <f>ConInt(E50,T_PTC2,T_Still)</f>
        <v>0.36292018803590165</v>
      </c>
      <c r="G59" s="6"/>
      <c r="H59" s="13"/>
      <c r="I59" s="21"/>
    </row>
    <row r="60" spans="1:9">
      <c r="A60" s="15"/>
      <c r="B60" s="7"/>
      <c r="D60" s="6"/>
      <c r="E60" s="7"/>
      <c r="G60" s="6"/>
      <c r="H60" s="7"/>
      <c r="I60" s="17"/>
    </row>
    <row r="61" spans="1:9">
      <c r="A61" s="15" t="s">
        <v>104</v>
      </c>
      <c r="B61" s="28">
        <f>B57*B59</f>
        <v>5.1687592057784209E-5</v>
      </c>
      <c r="D61" s="6" t="s">
        <v>104</v>
      </c>
      <c r="E61" s="28">
        <f>E57*E59</f>
        <v>9.8986757478379218E-9</v>
      </c>
      <c r="G61" s="2" t="s">
        <v>166</v>
      </c>
      <c r="H61" s="4">
        <v>0.05</v>
      </c>
      <c r="I61" s="22"/>
    </row>
    <row r="62" spans="1:9">
      <c r="A62" s="31" t="s">
        <v>103</v>
      </c>
      <c r="B62" s="29">
        <v>4</v>
      </c>
      <c r="D62" s="14" t="s">
        <v>103</v>
      </c>
      <c r="E62" s="29">
        <v>50</v>
      </c>
      <c r="G62" s="34" t="s">
        <v>167</v>
      </c>
      <c r="H62" s="50">
        <v>0.05</v>
      </c>
      <c r="I62" s="22"/>
    </row>
    <row r="63" spans="1:9">
      <c r="A63" s="15"/>
      <c r="H63" s="54"/>
      <c r="I63" s="52" t="s">
        <v>184</v>
      </c>
    </row>
    <row r="64" spans="1:9" ht="15" thickBot="1">
      <c r="A64" s="38" t="s">
        <v>182</v>
      </c>
      <c r="B64" s="40">
        <f>B61*B62</f>
        <v>2.0675036823113684E-4</v>
      </c>
      <c r="C64" s="39"/>
      <c r="D64" s="39" t="s">
        <v>182</v>
      </c>
      <c r="E64" s="40">
        <f>E61*E62</f>
        <v>4.9493378739189607E-7</v>
      </c>
      <c r="F64" s="39"/>
      <c r="G64" s="39" t="s">
        <v>182</v>
      </c>
      <c r="H64" s="51">
        <f>H57*C_SB*(T_PTC2^4-T_Still^4)/(1/H61+1/H62-1)</f>
        <v>1.2125148568615383E-7</v>
      </c>
      <c r="I64" s="41">
        <f>B64+E64+H64</f>
        <v>2.0736655350421488E-4</v>
      </c>
    </row>
    <row r="66" spans="1:9" ht="15" thickBot="1"/>
    <row r="67" spans="1:9">
      <c r="A67" s="59" t="s">
        <v>176</v>
      </c>
      <c r="B67" s="60"/>
      <c r="C67" s="61"/>
      <c r="D67" s="61"/>
      <c r="E67" s="61"/>
      <c r="F67" s="61"/>
      <c r="G67" s="61"/>
      <c r="H67" s="62"/>
      <c r="I67" s="63"/>
    </row>
    <row r="68" spans="1:9">
      <c r="A68" s="15"/>
      <c r="H68" s="48"/>
      <c r="I68" s="16"/>
    </row>
    <row r="69" spans="1:9">
      <c r="A69" s="55" t="s">
        <v>4</v>
      </c>
      <c r="B69" s="56"/>
      <c r="C69" s="44"/>
      <c r="D69" s="56" t="s">
        <v>160</v>
      </c>
      <c r="E69" s="56"/>
      <c r="F69" s="45"/>
      <c r="G69" s="56" t="s">
        <v>161</v>
      </c>
      <c r="H69" s="56"/>
      <c r="I69" s="49"/>
    </row>
    <row r="70" spans="1:9">
      <c r="A70" s="15" t="s">
        <v>1</v>
      </c>
      <c r="B70" s="23" t="s">
        <v>33</v>
      </c>
      <c r="D70" s="6" t="s">
        <v>1</v>
      </c>
      <c r="E70" s="9" t="s">
        <v>69</v>
      </c>
      <c r="G70" s="6"/>
      <c r="H70" s="53"/>
      <c r="I70" s="18"/>
    </row>
    <row r="71" spans="1:9">
      <c r="A71" s="15"/>
      <c r="B71" s="7"/>
      <c r="C71" s="10"/>
      <c r="D71" s="6"/>
      <c r="E71" s="7"/>
      <c r="G71" s="6"/>
      <c r="H71" s="7"/>
      <c r="I71" s="17"/>
    </row>
    <row r="72" spans="1:9">
      <c r="A72" s="15" t="s">
        <v>2</v>
      </c>
      <c r="B72" s="24">
        <v>10</v>
      </c>
      <c r="C72" s="11"/>
      <c r="D72" s="6" t="s">
        <v>159</v>
      </c>
      <c r="E72" s="24">
        <v>0.1007</v>
      </c>
      <c r="G72" s="2" t="s">
        <v>177</v>
      </c>
      <c r="H72" s="3">
        <v>4.8506380000000002E-2</v>
      </c>
      <c r="I72" s="19"/>
    </row>
    <row r="73" spans="1:9">
      <c r="A73" s="15" t="s">
        <v>102</v>
      </c>
      <c r="B73" s="24">
        <v>9.4</v>
      </c>
      <c r="C73" s="11"/>
      <c r="D73" s="6"/>
      <c r="E73" s="30"/>
      <c r="G73" s="2" t="s">
        <v>178</v>
      </c>
      <c r="H73" s="3">
        <v>3.0687679999999998E-2</v>
      </c>
      <c r="I73" s="19"/>
    </row>
    <row r="74" spans="1:9">
      <c r="A74" s="15" t="s">
        <v>106</v>
      </c>
      <c r="B74" s="25">
        <f>(B72/2)-(B73/2)</f>
        <v>0.29999999999999982</v>
      </c>
      <c r="C74" s="11"/>
      <c r="D74" s="6"/>
      <c r="E74" s="7"/>
      <c r="G74" s="2" t="s">
        <v>179</v>
      </c>
      <c r="H74" s="3">
        <v>3.0687679999999998E-2</v>
      </c>
      <c r="I74" s="19"/>
    </row>
    <row r="75" spans="1:9">
      <c r="A75" s="15" t="s">
        <v>101</v>
      </c>
      <c r="B75" s="26">
        <f>(PI()*(B72/2)^2)-(PI()*(B73/2)^2)</f>
        <v>9.1420346219462942</v>
      </c>
      <c r="C75" s="11"/>
      <c r="D75" s="6" t="s">
        <v>101</v>
      </c>
      <c r="E75" s="26">
        <f>PI()*((E72/2)^2)</f>
        <v>7.9643222219501902E-3</v>
      </c>
      <c r="G75" s="2" t="s">
        <v>180</v>
      </c>
      <c r="H75" s="3">
        <v>4.7665680000000002E-2</v>
      </c>
      <c r="I75" s="19"/>
    </row>
    <row r="76" spans="1:9">
      <c r="A76" s="15" t="s">
        <v>3</v>
      </c>
      <c r="B76" s="24">
        <v>258</v>
      </c>
      <c r="C76" s="8"/>
      <c r="D76" s="6" t="s">
        <v>3</v>
      </c>
      <c r="E76" s="24">
        <v>445</v>
      </c>
      <c r="G76" s="2" t="s">
        <v>181</v>
      </c>
      <c r="H76" s="3">
        <v>4.7665680000000002E-2</v>
      </c>
      <c r="I76" s="19"/>
    </row>
    <row r="77" spans="1:9">
      <c r="A77" s="15" t="s">
        <v>158</v>
      </c>
      <c r="B77" s="27">
        <f>B75/B76/1000</f>
        <v>3.5434242720722068E-5</v>
      </c>
      <c r="C77" s="8"/>
      <c r="D77" s="6" t="s">
        <v>158</v>
      </c>
      <c r="E77" s="27">
        <f>E75/E76/1000</f>
        <v>1.7897353307753237E-8</v>
      </c>
      <c r="G77" s="2" t="s">
        <v>173</v>
      </c>
      <c r="H77" s="3">
        <v>0.57114167999999998</v>
      </c>
      <c r="I77" s="19"/>
    </row>
    <row r="78" spans="1:9">
      <c r="A78" s="15"/>
      <c r="B78" s="9"/>
      <c r="C78" s="8"/>
      <c r="D78" s="6"/>
      <c r="E78" s="9"/>
      <c r="G78" s="2" t="s">
        <v>164</v>
      </c>
      <c r="H78" s="3">
        <v>7.2106600000000007E-2</v>
      </c>
      <c r="I78" s="19"/>
    </row>
    <row r="79" spans="1:9">
      <c r="A79" s="15" t="s">
        <v>5</v>
      </c>
      <c r="B79" s="13">
        <f>ConInt(B70,T_Still,T_MC)</f>
        <v>3.5470899376131244E-2</v>
      </c>
      <c r="D79" s="6" t="s">
        <v>5</v>
      </c>
      <c r="E79" s="13">
        <f>ConInt(E70,T_Still,T_MC)</f>
        <v>3.4922249874757338E-2</v>
      </c>
      <c r="G79" s="6"/>
      <c r="H79" s="13"/>
      <c r="I79" s="21"/>
    </row>
    <row r="80" spans="1:9">
      <c r="A80" s="15"/>
      <c r="B80" s="7"/>
      <c r="D80" s="6"/>
      <c r="E80" s="7"/>
      <c r="G80" s="6" t="s">
        <v>165</v>
      </c>
      <c r="H80" s="33">
        <f>H72+H73+H74+H75+H76+H77+H78</f>
        <v>0.84846137999999993</v>
      </c>
      <c r="I80" s="32"/>
    </row>
    <row r="81" spans="1:9">
      <c r="A81" s="15" t="s">
        <v>104</v>
      </c>
      <c r="B81" s="28">
        <f>B77*B79</f>
        <v>1.2568844580161435E-6</v>
      </c>
      <c r="D81" s="6" t="s">
        <v>104</v>
      </c>
      <c r="E81" s="28">
        <f>E77*E79</f>
        <v>6.2501584431017333E-10</v>
      </c>
      <c r="G81" s="2" t="s">
        <v>166</v>
      </c>
      <c r="H81" s="4">
        <v>0.05</v>
      </c>
      <c r="I81" s="22"/>
    </row>
    <row r="82" spans="1:9">
      <c r="A82" s="31" t="s">
        <v>103</v>
      </c>
      <c r="B82" s="29">
        <v>4</v>
      </c>
      <c r="D82" s="14" t="s">
        <v>103</v>
      </c>
      <c r="E82" s="29">
        <v>50</v>
      </c>
      <c r="G82" s="34" t="s">
        <v>167</v>
      </c>
      <c r="H82" s="50">
        <v>0.05</v>
      </c>
      <c r="I82" s="22"/>
    </row>
    <row r="83" spans="1:9">
      <c r="A83" s="15"/>
      <c r="H83" s="54"/>
      <c r="I83" s="52" t="s">
        <v>184</v>
      </c>
    </row>
    <row r="84" spans="1:9" ht="15" thickBot="1">
      <c r="A84" s="38" t="s">
        <v>182</v>
      </c>
      <c r="B84" s="40">
        <f>B81*B82</f>
        <v>5.0275378320645741E-6</v>
      </c>
      <c r="C84" s="39"/>
      <c r="D84" s="39" t="s">
        <v>182</v>
      </c>
      <c r="E84" s="40">
        <f>E81*E82</f>
        <v>3.1250792215508667E-8</v>
      </c>
      <c r="F84" s="39"/>
      <c r="G84" s="39" t="s">
        <v>182</v>
      </c>
      <c r="H84" s="51">
        <f>H80*C_SB*(T_Still^4-T_MC^4)/(1/H81+1/H82-1)</f>
        <v>1.2334089607685998E-9</v>
      </c>
      <c r="I84" s="41">
        <f>B84+E84+H84</f>
        <v>5.0600220332408509E-6</v>
      </c>
    </row>
  </sheetData>
  <mergeCells count="17">
    <mergeCell ref="A7:B7"/>
    <mergeCell ref="A27:B27"/>
    <mergeCell ref="A47:B47"/>
    <mergeCell ref="A9:B9"/>
    <mergeCell ref="D9:E9"/>
    <mergeCell ref="G9:H9"/>
    <mergeCell ref="A29:B29"/>
    <mergeCell ref="D29:E29"/>
    <mergeCell ref="A1:I1"/>
    <mergeCell ref="A69:B69"/>
    <mergeCell ref="D69:E69"/>
    <mergeCell ref="G69:H69"/>
    <mergeCell ref="G29:H29"/>
    <mergeCell ref="A67:B67"/>
    <mergeCell ref="A49:B49"/>
    <mergeCell ref="D49:E49"/>
    <mergeCell ref="G49:H4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83C0B-AECF-4664-999C-DB12A1F377C8}">
  <sheetPr codeName="Sheet3"/>
  <dimension ref="A1:D78"/>
  <sheetViews>
    <sheetView workbookViewId="0">
      <selection activeCell="D28" sqref="D28"/>
    </sheetView>
  </sheetViews>
  <sheetFormatPr defaultColWidth="8.77734375" defaultRowHeight="14.4"/>
  <cols>
    <col min="1" max="1" width="19.109375" customWidth="1"/>
  </cols>
  <sheetData>
    <row r="1" spans="1:4">
      <c r="A1" t="str">
        <f>ConductivityParameters!A2</f>
        <v>Aluminum_1100</v>
      </c>
      <c r="B1" t="str">
        <f>ConductivityParameters!B2</f>
        <v>Nppoly</v>
      </c>
      <c r="C1">
        <f>ConductivityParameters!D2</f>
        <v>1.0609999999999999</v>
      </c>
      <c r="D1" cm="1">
        <f t="array" ref="D1">Conductivity(A1,C1)</f>
        <v>11.465806983306752</v>
      </c>
    </row>
    <row r="2" spans="1:4">
      <c r="A2" t="str">
        <f>ConductivityParameters!A3</f>
        <v>Aluminum_3003F</v>
      </c>
      <c r="B2" t="str">
        <f>ConductivityParameters!B3</f>
        <v>polylog</v>
      </c>
      <c r="C2">
        <f>ConductivityParameters!D3</f>
        <v>300</v>
      </c>
      <c r="D2" cm="1">
        <f t="array" ref="D2">Conductivity(A2,C2)</f>
        <v>177.76986402789362</v>
      </c>
    </row>
    <row r="3" spans="1:4">
      <c r="A3" t="str">
        <f>ConductivityParameters!A4</f>
        <v>Aluminum_5083O</v>
      </c>
      <c r="B3" t="str">
        <f>ConductivityParameters!B4</f>
        <v>polylog</v>
      </c>
      <c r="C3">
        <f>ConductivityParameters!D4</f>
        <v>300</v>
      </c>
      <c r="D3" cm="1">
        <f t="array" ref="D3">Conductivity(A3,C3)</f>
        <v>119.28046380271637</v>
      </c>
    </row>
    <row r="4" spans="1:4">
      <c r="A4" t="str">
        <f>ConductivityParameters!A5</f>
        <v>Aluminum_6061T6</v>
      </c>
      <c r="B4" t="str">
        <f>ConductivityParameters!B5</f>
        <v>polylog</v>
      </c>
      <c r="C4">
        <f>ConductivityParameters!D5</f>
        <v>300</v>
      </c>
      <c r="D4" cm="1">
        <f t="array" ref="D4">Conductivity(A4,C4)</f>
        <v>155.31878979363279</v>
      </c>
    </row>
    <row r="5" spans="1:4">
      <c r="A5" t="str">
        <f>ConductivityParameters!A6</f>
        <v>Aluminum_6063T5</v>
      </c>
      <c r="B5" t="str">
        <f>ConductivityParameters!B6</f>
        <v>polylog</v>
      </c>
      <c r="C5">
        <f>ConductivityParameters!D6</f>
        <v>296</v>
      </c>
      <c r="D5" cm="1">
        <f t="array" ref="D5">Conductivity(A5,C5)</f>
        <v>261.25080515997774</v>
      </c>
    </row>
    <row r="6" spans="1:4">
      <c r="A6" t="str">
        <f>ConductivityParameters!A7</f>
        <v>Beryllium_Copper</v>
      </c>
      <c r="B6" t="str">
        <f>ConductivityParameters!B7</f>
        <v>polylog</v>
      </c>
      <c r="C6">
        <f>ConductivityParameters!D7</f>
        <v>80</v>
      </c>
      <c r="D6" cm="1">
        <f t="array" ref="D6">Conductivity(A6,C6)</f>
        <v>37.145987501035599</v>
      </c>
    </row>
    <row r="7" spans="1:4">
      <c r="A7" t="str">
        <f>ConductivityParameters!A8</f>
        <v>Brass</v>
      </c>
      <c r="B7" t="str">
        <f>ConductivityParameters!B8</f>
        <v>polylog</v>
      </c>
      <c r="C7">
        <f>ConductivityParameters!D8</f>
        <v>116</v>
      </c>
      <c r="D7" cm="1">
        <f t="array" ref="D7">Conductivity(A7,C7)</f>
        <v>52.557132727957608</v>
      </c>
    </row>
    <row r="8" spans="1:4">
      <c r="A8" t="str">
        <f>ConductivityParameters!A9</f>
        <v>CFRP</v>
      </c>
      <c r="B8" t="str">
        <f>ConductivityParameters!B9</f>
        <v>Nppoly</v>
      </c>
      <c r="C8">
        <f>ConductivityParameters!D9</f>
        <v>4.8419999999999996</v>
      </c>
      <c r="D8" cm="1">
        <f t="array" ref="D8">Conductivity(A8,C8)</f>
        <v>3.2374711086275265E-2</v>
      </c>
    </row>
    <row r="9" spans="1:4">
      <c r="A9" t="str">
        <f>ConductivityParameters!A10</f>
        <v>CFRP_Clearwater</v>
      </c>
      <c r="B9" t="str">
        <f>ConductivityParameters!B10</f>
        <v>Nppoly</v>
      </c>
      <c r="C9">
        <f>ConductivityParameters!D10</f>
        <v>4.8419999999999996</v>
      </c>
      <c r="D9" cm="1">
        <f t="array" ref="D9">Conductivity(A9,C9)</f>
        <v>3.4204563243920627E-2</v>
      </c>
    </row>
    <row r="10" spans="1:4">
      <c r="A10" t="str">
        <f>ConductivityParameters!A11</f>
        <v>CFRP_DPP</v>
      </c>
      <c r="B10" t="str">
        <f>ConductivityParameters!B11</f>
        <v>Nppoly</v>
      </c>
      <c r="C10">
        <f>ConductivityParameters!D11</f>
        <v>4.0199999999999996</v>
      </c>
      <c r="D10" cm="1">
        <f t="array" ref="D10">Conductivity(A10,C10)</f>
        <v>1.6635926370550572E-2</v>
      </c>
    </row>
    <row r="11" spans="1:4">
      <c r="A11" t="str">
        <f>ConductivityParameters!A12</f>
        <v>CFRP_Graphlite</v>
      </c>
      <c r="B11" t="str">
        <f>ConductivityParameters!B12</f>
        <v>Nppoly</v>
      </c>
      <c r="C11">
        <f>ConductivityParameters!D12</f>
        <v>4.0149999999999997</v>
      </c>
      <c r="D11" cm="1">
        <f t="array" ref="D11">Conductivity(A11,C11)</f>
        <v>2.7266161312609921E-2</v>
      </c>
    </row>
    <row r="12" spans="1:4">
      <c r="A12" t="str">
        <f>ConductivityParameters!A13</f>
        <v>Constantan_lo</v>
      </c>
      <c r="B12" t="str">
        <f>ConductivityParameters!B13</f>
        <v>Nppoly</v>
      </c>
      <c r="C12">
        <f>ConductivityParameters!D13</f>
        <v>96.8</v>
      </c>
      <c r="D12" cm="1">
        <f t="array" ref="D12">Conductivity(A12,C12)</f>
        <v>9.5379864391679892E-2</v>
      </c>
    </row>
    <row r="13" spans="1:4">
      <c r="A13" t="str">
        <f>ConductivityParameters!A14</f>
        <v>Constantan_hi</v>
      </c>
      <c r="B13" t="str">
        <f>ConductivityParameters!B14</f>
        <v>polylog</v>
      </c>
      <c r="C13">
        <f>ConductivityParameters!D14</f>
        <v>1070</v>
      </c>
      <c r="D13" cm="1">
        <f t="array" ref="D13">Conductivity(A13,C13)</f>
        <v>9.4720970914897909E-4</v>
      </c>
    </row>
    <row r="14" spans="1:4">
      <c r="A14" t="str">
        <f>ConductivityParameters!A15</f>
        <v>Cu_OFHC</v>
      </c>
      <c r="B14" t="str">
        <f>ConductivityParameters!B15</f>
        <v>polylog</v>
      </c>
      <c r="C14">
        <f>ConductivityParameters!D15</f>
        <v>325</v>
      </c>
      <c r="D14" cm="1">
        <f t="array" ref="D14">Conductivity(A14,C14)</f>
        <v>0</v>
      </c>
    </row>
    <row r="15" spans="1:4">
      <c r="A15" t="str">
        <f>ConductivityParameters!A16</f>
        <v>Cu_OFHC_RRR100</v>
      </c>
      <c r="B15" t="str">
        <f>ConductivityParameters!B16</f>
        <v>NIST-copperfit</v>
      </c>
      <c r="C15">
        <f>ConductivityParameters!D16</f>
        <v>300</v>
      </c>
      <c r="D15" cm="1">
        <f t="array" ref="D15">Conductivity(A15,C15)</f>
        <v>396.32395901501258</v>
      </c>
    </row>
    <row r="16" spans="1:4">
      <c r="A16" t="str">
        <f>ConductivityParameters!A17</f>
        <v>Cu_OFHC_RRR150</v>
      </c>
      <c r="B16" t="str">
        <f>ConductivityParameters!B17</f>
        <v>NIST-copperfit</v>
      </c>
      <c r="C16">
        <f>ConductivityParameters!D17</f>
        <v>300</v>
      </c>
      <c r="D16" cm="1">
        <f t="array" ref="D16">Conductivity(A16,C16)</f>
        <v>397.64131812085549</v>
      </c>
    </row>
    <row r="17" spans="1:4">
      <c r="A17" t="str">
        <f>ConductivityParameters!A18</f>
        <v>Cu_OFHC_RRR300</v>
      </c>
      <c r="B17" t="str">
        <f>ConductivityParameters!B18</f>
        <v>NIST-copperfit</v>
      </c>
      <c r="C17">
        <f>ConductivityParameters!D18</f>
        <v>300</v>
      </c>
      <c r="D17" t="e" cm="1">
        <f t="array" ref="D17">Conductivity(A17,C17)</f>
        <v>#VALUE!</v>
      </c>
    </row>
    <row r="18" spans="1:4">
      <c r="A18" t="str">
        <f>ConductivityParameters!A19</f>
        <v>Cu_OFHC_RRR50</v>
      </c>
      <c r="B18" t="str">
        <f>ConductivityParameters!B19</f>
        <v>NIST-copperfit</v>
      </c>
      <c r="C18">
        <f>ConductivityParameters!D19</f>
        <v>300</v>
      </c>
      <c r="D18" cm="1">
        <f t="array" ref="D18">Conductivity(A18,C18)</f>
        <v>392.36824486828715</v>
      </c>
    </row>
    <row r="19" spans="1:4">
      <c r="A19" t="str">
        <f>ConductivityParameters!A20</f>
        <v>Cu_OFHC_RRR500</v>
      </c>
      <c r="B19" t="str">
        <f>ConductivityParameters!B20</f>
        <v>NIST-copperfit</v>
      </c>
      <c r="C19">
        <f>ConductivityParameters!D20</f>
        <v>300</v>
      </c>
      <c r="D19" cm="1">
        <f t="array" ref="D19">Conductivity(A19,C19)</f>
        <v>401.1873558275264</v>
      </c>
    </row>
    <row r="20" spans="1:4">
      <c r="A20" t="str">
        <f>ConductivityParameters!A21</f>
        <v>G10_CR_Normal</v>
      </c>
      <c r="B20" t="str">
        <f>ConductivityParameters!B21</f>
        <v>polylog</v>
      </c>
      <c r="C20">
        <f>ConductivityParameters!D21</f>
        <v>300</v>
      </c>
      <c r="D20" cm="1">
        <f t="array" ref="D20">Conductivity(A20,C20)</f>
        <v>0.60798275473108543</v>
      </c>
    </row>
    <row r="21" spans="1:4">
      <c r="A21" t="str">
        <f>ConductivityParameters!A22</f>
        <v>G10_CR_Warp</v>
      </c>
      <c r="B21" t="str">
        <f>ConductivityParameters!B22</f>
        <v>polylog</v>
      </c>
      <c r="C21">
        <f>ConductivityParameters!D22</f>
        <v>300</v>
      </c>
      <c r="D21" cm="1">
        <f t="array" ref="D21">Conductivity(A21,C21)</f>
        <v>0.86363784173592995</v>
      </c>
    </row>
    <row r="22" spans="1:4">
      <c r="A22" t="str">
        <f>ConductivityParameters!A23</f>
        <v>G10_FR4</v>
      </c>
      <c r="B22" t="str">
        <f>ConductivityParameters!B23</f>
        <v>Nppoly</v>
      </c>
      <c r="C22">
        <f>ConductivityParameters!D23</f>
        <v>2.9710000000000001</v>
      </c>
      <c r="D22" cm="1">
        <f t="array" ref="D22">Conductivity(A22,C22)</f>
        <v>4.8710240504066901E-2</v>
      </c>
    </row>
    <row r="23" spans="1:4">
      <c r="A23" t="str">
        <f>ConductivityParameters!A24</f>
        <v>Glass_FabricPolyester_He_warp</v>
      </c>
      <c r="B23" t="str">
        <f>ConductivityParameters!B24</f>
        <v>polylog</v>
      </c>
      <c r="C23">
        <f>ConductivityParameters!D24</f>
        <v>300</v>
      </c>
      <c r="D23" cm="1">
        <f t="array" ref="D23">Conductivity(A23,C23)</f>
        <v>0.23819944841834428</v>
      </c>
    </row>
    <row r="24" spans="1:4">
      <c r="A24" t="str">
        <f>ConductivityParameters!A25</f>
        <v>Glass_FabricPolyester_Ni_normal</v>
      </c>
      <c r="B24" t="str">
        <f>ConductivityParameters!B25</f>
        <v>polylog</v>
      </c>
      <c r="C24">
        <f>ConductivityParameters!D25</f>
        <v>300</v>
      </c>
      <c r="D24" cm="1">
        <f t="array" ref="D24">Conductivity(A24,C24)</f>
        <v>0.38059102912363524</v>
      </c>
    </row>
    <row r="25" spans="1:4">
      <c r="A25" t="str">
        <f>ConductivityParameters!A26</f>
        <v>Glass_FabricPolyester_Ni_warp</v>
      </c>
      <c r="B25" t="str">
        <f>ConductivityParameters!B26</f>
        <v>polylog</v>
      </c>
      <c r="C25">
        <f>ConductivityParameters!D26</f>
        <v>300</v>
      </c>
      <c r="D25" cm="1">
        <f t="array" ref="D25">Conductivity(A25,C25)</f>
        <v>0.45489672372344059</v>
      </c>
    </row>
    <row r="26" spans="1:4">
      <c r="A26" t="str">
        <f>ConductivityParameters!A27</f>
        <v>Graphite</v>
      </c>
      <c r="B26" t="str">
        <f>ConductivityParameters!B27</f>
        <v>lowTextrapolate</v>
      </c>
      <c r="C26">
        <f>ConductivityParameters!D27</f>
        <v>1</v>
      </c>
      <c r="D26" t="e" cm="1">
        <f t="array" ref="D26">Conductivity(A26,C26)</f>
        <v>#VALUE!</v>
      </c>
    </row>
    <row r="27" spans="1:4">
      <c r="A27" t="str">
        <f>ConductivityParameters!A28</f>
        <v>Graphite_a</v>
      </c>
      <c r="B27" t="str">
        <f>ConductivityParameters!B28</f>
        <v>polylog</v>
      </c>
      <c r="C27">
        <f>ConductivityParameters!D28</f>
        <v>4.22</v>
      </c>
      <c r="D27" cm="1">
        <f t="array" ref="D27">Conductivity(A27,C27)</f>
        <v>3.682042722999504E-2</v>
      </c>
    </row>
    <row r="28" spans="1:4">
      <c r="A28" t="str">
        <f>ConductivityParameters!A29</f>
        <v>Graphite_brad</v>
      </c>
      <c r="B28" t="str">
        <f>ConductivityParameters!B29</f>
        <v>lowTextrapolate</v>
      </c>
      <c r="C28">
        <f>ConductivityParameters!D29</f>
        <v>5</v>
      </c>
      <c r="D28" t="e" cm="1">
        <f t="array" ref="D28">Conductivity(A28,C28)</f>
        <v>#VALUE!</v>
      </c>
    </row>
    <row r="29" spans="1:4">
      <c r="A29" t="str">
        <f>ConductivityParameters!A30</f>
        <v>Graphite_p</v>
      </c>
      <c r="B29" t="str">
        <f>ConductivityParameters!B30</f>
        <v>polylog</v>
      </c>
      <c r="C29">
        <f>ConductivityParameters!D30</f>
        <v>4.22</v>
      </c>
      <c r="D29" cm="1">
        <f t="array" ref="D29">Conductivity(A29,C29)</f>
        <v>3.7071098184832507E-2</v>
      </c>
    </row>
    <row r="30" spans="1:4">
      <c r="A30" t="str">
        <f>ConductivityParameters!A31</f>
        <v>Inconel_718</v>
      </c>
      <c r="B30" t="str">
        <f>ConductivityParameters!B31</f>
        <v>polylog</v>
      </c>
      <c r="C30">
        <f>ConductivityParameters!D31</f>
        <v>275</v>
      </c>
      <c r="D30" cm="1">
        <f t="array" ref="D30">Conductivity(A30,C30)</f>
        <v>9.4681484371773941</v>
      </c>
    </row>
    <row r="31" spans="1:4">
      <c r="A31" t="str">
        <f>ConductivityParameters!A32</f>
        <v>Invar_Fe36Ni</v>
      </c>
      <c r="B31" t="str">
        <f>ConductivityParameters!B32</f>
        <v>polylog</v>
      </c>
      <c r="C31">
        <f>ConductivityParameters!D32</f>
        <v>300</v>
      </c>
      <c r="D31" cm="1">
        <f t="array" ref="D31">Conductivity(A31,C31)</f>
        <v>13.834885987593504</v>
      </c>
    </row>
    <row r="32" spans="1:4">
      <c r="A32" t="str">
        <f>ConductivityParameters!A33</f>
        <v>Kapton</v>
      </c>
      <c r="B32" t="str">
        <f>ConductivityParameters!B33</f>
        <v>comppoly</v>
      </c>
      <c r="C32">
        <f>ConductivityParameters!D33</f>
        <v>307</v>
      </c>
      <c r="D32" cm="1">
        <f t="array" ref="D32">Conductivity(A32,C32)</f>
        <v>167.89801281789093</v>
      </c>
    </row>
    <row r="33" spans="1:4">
      <c r="A33" t="str">
        <f>ConductivityParameters!A34</f>
        <v>Kaptona</v>
      </c>
      <c r="B33" t="str">
        <f>ConductivityParameters!B34</f>
        <v>polylog</v>
      </c>
      <c r="C33">
        <f>ConductivityParameters!D34</f>
        <v>300</v>
      </c>
      <c r="D33" cm="1">
        <f t="array" ref="D33">Conductivity(A33,C33)</f>
        <v>0.19187175883365865</v>
      </c>
    </row>
    <row r="34" spans="1:4">
      <c r="A34" t="str">
        <f>ConductivityParameters!A35</f>
        <v>Ketron</v>
      </c>
      <c r="B34" t="str">
        <f>ConductivityParameters!B35</f>
        <v>Nppoly</v>
      </c>
      <c r="C34">
        <f>ConductivityParameters!D35</f>
        <v>2.851</v>
      </c>
      <c r="D34" cm="1">
        <f t="array" ref="D34">Conductivity(A34,C34)</f>
        <v>9.174536897841562E-3</v>
      </c>
    </row>
    <row r="35" spans="1:4">
      <c r="A35" t="str">
        <f>ConductivityParameters!A36</f>
        <v>Kevlar49_Composite_Aramid</v>
      </c>
      <c r="B35" t="str">
        <f>ConductivityParameters!B36</f>
        <v>NIST-experf</v>
      </c>
      <c r="C35">
        <f>ConductivityParameters!D36</f>
        <v>302</v>
      </c>
      <c r="D35" cm="1">
        <f t="array" ref="D35">Conductivity(A35,C35)</f>
        <v>0</v>
      </c>
    </row>
    <row r="36" spans="1:4">
      <c r="A36" t="str">
        <f>ConductivityParameters!A37</f>
        <v>Kevlar49_Fiber_Aramid</v>
      </c>
      <c r="B36" t="str">
        <f>ConductivityParameters!B37</f>
        <v>NIST-experf</v>
      </c>
      <c r="C36">
        <f>ConductivityParameters!D37</f>
        <v>291</v>
      </c>
      <c r="D36" cm="1">
        <f t="array" ref="D36">Conductivity(A36,C36)</f>
        <v>0</v>
      </c>
    </row>
    <row r="37" spans="1:4">
      <c r="A37" t="str">
        <f>ConductivityParameters!A38</f>
        <v>Lead</v>
      </c>
      <c r="B37" t="str">
        <f>ConductivityParameters!B38</f>
        <v>polylog</v>
      </c>
      <c r="C37">
        <f>ConductivityParameters!D38</f>
        <v>296</v>
      </c>
      <c r="D37" cm="1">
        <f t="array" ref="D37">Conductivity(A37,C37)</f>
        <v>33.35039377243465</v>
      </c>
    </row>
    <row r="38" spans="1:4">
      <c r="A38" t="str">
        <f>ConductivityParameters!A39</f>
        <v>Macor</v>
      </c>
      <c r="B38" t="str">
        <f>ConductivityParameters!B39</f>
        <v>Nppoly</v>
      </c>
      <c r="C38">
        <f>ConductivityParameters!D39</f>
        <v>3.2130000000000001</v>
      </c>
      <c r="D38" cm="1">
        <f t="array" ref="D38">Conductivity(A38,C38)</f>
        <v>5.1897040387452339E-2</v>
      </c>
    </row>
    <row r="39" spans="1:4">
      <c r="A39" t="str">
        <f>ConductivityParameters!A40</f>
        <v>Manganin</v>
      </c>
      <c r="B39" t="str">
        <f>ConductivityParameters!B40</f>
        <v>comppoly</v>
      </c>
      <c r="C39">
        <f>ConductivityParameters!D40</f>
        <v>1180</v>
      </c>
      <c r="D39" cm="1">
        <f t="array" ref="D39">Conductivity(A39,C39)</f>
        <v>66.245436597889594</v>
      </c>
    </row>
    <row r="40" spans="1:4">
      <c r="A40" t="str">
        <f>ConductivityParameters!A41</f>
        <v>Molybdenum</v>
      </c>
      <c r="B40" t="str">
        <f>ConductivityParameters!B41</f>
        <v>polylog</v>
      </c>
      <c r="C40">
        <f>ConductivityParameters!D41</f>
        <v>373</v>
      </c>
      <c r="D40" cm="1">
        <f t="array" ref="D40">Conductivity(A40,C40)</f>
        <v>125.56305370079269</v>
      </c>
    </row>
    <row r="41" spans="1:4">
      <c r="A41" t="str">
        <f>ConductivityParameters!A42</f>
        <v>MylarPET</v>
      </c>
      <c r="B41" t="str">
        <f>ConductivityParameters!B42</f>
        <v>polylog</v>
      </c>
      <c r="C41">
        <f>ConductivityParameters!D42</f>
        <v>83</v>
      </c>
      <c r="D41" cm="1">
        <f t="array" ref="D41">Conductivity(A41,C41)</f>
        <v>0.15715085322572617</v>
      </c>
    </row>
    <row r="42" spans="1:4">
      <c r="A42" t="str">
        <f>ConductivityParameters!A43</f>
        <v>NbTi</v>
      </c>
      <c r="B42" t="str">
        <f>ConductivityParameters!B43</f>
        <v>polylog</v>
      </c>
      <c r="C42">
        <f>ConductivityParameters!D43</f>
        <v>9.2319999999999993</v>
      </c>
      <c r="D42" cm="1">
        <f t="array" ref="D42">Conductivity(A42,C42)</f>
        <v>0.58464175126059403</v>
      </c>
    </row>
    <row r="43" spans="1:4">
      <c r="A43" t="str">
        <f>ConductivityParameters!A44</f>
        <v>Nichrome</v>
      </c>
      <c r="B43" t="str">
        <f>ConductivityParameters!B44</f>
        <v>polylog</v>
      </c>
      <c r="C43">
        <f>ConductivityParameters!D44</f>
        <v>300</v>
      </c>
      <c r="D43" cm="1">
        <f t="array" ref="D43">Conductivity(A43,C43)</f>
        <v>11.385106384743791</v>
      </c>
    </row>
    <row r="44" spans="1:4">
      <c r="A44" t="str">
        <f>ConductivityParameters!A45</f>
        <v>Nickel_Steel_Fe_2.25_Ni</v>
      </c>
      <c r="B44" t="str">
        <f>ConductivityParameters!B45</f>
        <v>polylog</v>
      </c>
      <c r="C44">
        <f>ConductivityParameters!D45</f>
        <v>300</v>
      </c>
      <c r="D44" cm="1">
        <f t="array" ref="D44">Conductivity(A44,C44)</f>
        <v>39.167235418291718</v>
      </c>
    </row>
    <row r="45" spans="1:4">
      <c r="A45" t="str">
        <f>ConductivityParameters!A46</f>
        <v>Nickel_Steel_Fe_3.25_Ni</v>
      </c>
      <c r="B45" t="str">
        <f>ConductivityParameters!B46</f>
        <v>polylog</v>
      </c>
      <c r="C45">
        <f>ConductivityParameters!D46</f>
        <v>300</v>
      </c>
      <c r="D45" cm="1">
        <f t="array" ref="D45">Conductivity(A45,C45)</f>
        <v>34.426949953161014</v>
      </c>
    </row>
    <row r="46" spans="1:4">
      <c r="A46" t="str">
        <f>ConductivityParameters!A47</f>
        <v>Nickel_Steel_Fe_5.0_Ni</v>
      </c>
      <c r="B46" t="str">
        <f>ConductivityParameters!B47</f>
        <v>polylog</v>
      </c>
      <c r="C46">
        <f>ConductivityParameters!D47</f>
        <v>300</v>
      </c>
      <c r="D46" cm="1">
        <f t="array" ref="D46">Conductivity(A46,C46)</f>
        <v>31.315331265904671</v>
      </c>
    </row>
    <row r="47" spans="1:4">
      <c r="A47" t="str">
        <f>ConductivityParameters!A48</f>
        <v>Nickel_Steel_Fe_9.0_Ni</v>
      </c>
      <c r="B47" t="str">
        <f>ConductivityParameters!B48</f>
        <v>polylog</v>
      </c>
      <c r="C47">
        <f>ConductivityParameters!D48</f>
        <v>300</v>
      </c>
      <c r="D47" cm="1">
        <f t="array" ref="D47">Conductivity(A47,C47)</f>
        <v>27.826606815049125</v>
      </c>
    </row>
    <row r="48" spans="1:4">
      <c r="A48" t="str">
        <f>ConductivityParameters!A49</f>
        <v>Nylon</v>
      </c>
      <c r="B48" t="str">
        <f>ConductivityParameters!B49</f>
        <v>polylog</v>
      </c>
      <c r="C48">
        <f>ConductivityParameters!D49</f>
        <v>300</v>
      </c>
      <c r="D48" cm="1">
        <f t="array" ref="D48">Conductivity(A48,C48)</f>
        <v>0.33683654775344746</v>
      </c>
    </row>
    <row r="49" spans="1:4">
      <c r="A49" t="str">
        <f>ConductivityParameters!A50</f>
        <v>Phosphorbronze</v>
      </c>
      <c r="B49" t="str">
        <f>ConductivityParameters!B50</f>
        <v>comppoly</v>
      </c>
      <c r="C49">
        <f>ConductivityParameters!D50</f>
        <v>448</v>
      </c>
      <c r="D49" cm="1">
        <f t="array" ref="D49">Conductivity(A49,C49)</f>
        <v>77.788757984848672</v>
      </c>
    </row>
    <row r="50" spans="1:4">
      <c r="A50" t="str">
        <f>ConductivityParameters!A51</f>
        <v>Platinum</v>
      </c>
      <c r="B50" t="str">
        <f>ConductivityParameters!B51</f>
        <v>polylog</v>
      </c>
      <c r="C50">
        <f>ConductivityParameters!D51</f>
        <v>298</v>
      </c>
      <c r="D50" cm="1">
        <f t="array" ref="D50">Conductivity(A50,C50)</f>
        <v>92.753426802203236</v>
      </c>
    </row>
    <row r="51" spans="1:4">
      <c r="A51" t="str">
        <f>ConductivityParameters!A52</f>
        <v>Polystyrene_1.99_lbft3_Freon</v>
      </c>
      <c r="B51" t="str">
        <f>ConductivityParameters!B52</f>
        <v>polylog</v>
      </c>
      <c r="C51">
        <f>ConductivityParameters!D52</f>
        <v>300</v>
      </c>
      <c r="D51" cm="1">
        <f t="array" ref="D51">Conductivity(A51,C51)</f>
        <v>5.0919395148383888E-2</v>
      </c>
    </row>
    <row r="52" spans="1:4">
      <c r="A52" t="str">
        <f>ConductivityParameters!A53</f>
        <v>Polystyrene_2.0_lbft3</v>
      </c>
      <c r="B52" t="str">
        <f>ConductivityParameters!B53</f>
        <v>polylog</v>
      </c>
      <c r="C52">
        <f>ConductivityParameters!D53</f>
        <v>300</v>
      </c>
      <c r="D52" cm="1">
        <f t="array" ref="D52">Conductivity(A52,C52)</f>
        <v>7.2721558740129463E-2</v>
      </c>
    </row>
    <row r="53" spans="1:4">
      <c r="A53" t="str">
        <f>ConductivityParameters!A54</f>
        <v>Polystyrene_3.12_lbft3</v>
      </c>
      <c r="B53" t="str">
        <f>ConductivityParameters!B54</f>
        <v>polylog</v>
      </c>
      <c r="C53">
        <f>ConductivityParameters!D54</f>
        <v>300</v>
      </c>
      <c r="D53" cm="1">
        <f t="array" ref="D53">Conductivity(A53,C53)</f>
        <v>0</v>
      </c>
    </row>
    <row r="54" spans="1:4">
      <c r="A54" t="str">
        <f>ConductivityParameters!A55</f>
        <v>Polystyrene_6.24_lbft3</v>
      </c>
      <c r="B54" t="str">
        <f>ConductivityParameters!B55</f>
        <v>polylog</v>
      </c>
      <c r="C54">
        <f>ConductivityParameters!D55</f>
        <v>300</v>
      </c>
      <c r="D54" cm="1">
        <f t="array" ref="D54">Conductivity(A54,C54)</f>
        <v>4.1118894012750457E-2</v>
      </c>
    </row>
    <row r="55" spans="1:4">
      <c r="A55" t="str">
        <f>ConductivityParameters!A56</f>
        <v>Polyurethane_1.99_lbft3_Freon</v>
      </c>
      <c r="B55" t="str">
        <f>ConductivityParameters!B56</f>
        <v>polylog</v>
      </c>
      <c r="C55">
        <f>ConductivityParameters!D56</f>
        <v>300</v>
      </c>
      <c r="D55" cm="1">
        <f t="array" ref="D55">Conductivity(A55,C55)</f>
        <v>1.1528987345506815E-2</v>
      </c>
    </row>
    <row r="56" spans="1:4">
      <c r="A56" t="str">
        <f>ConductivityParameters!A57</f>
        <v>Polyurethane_2.0_lbft3_CO2</v>
      </c>
      <c r="B56" t="str">
        <f>ConductivityParameters!B57</f>
        <v>polylog</v>
      </c>
      <c r="C56">
        <f>ConductivityParameters!D57</f>
        <v>300</v>
      </c>
      <c r="D56" cm="1">
        <f t="array" ref="D56">Conductivity(A56,C56)</f>
        <v>2.6415455971176522E-2</v>
      </c>
    </row>
    <row r="57" spans="1:4">
      <c r="A57" t="str">
        <f>ConductivityParameters!A58</f>
        <v>Polyurethane_3.06_lbft3_He</v>
      </c>
      <c r="B57" t="str">
        <f>ConductivityParameters!B58</f>
        <v>polylog</v>
      </c>
      <c r="C57">
        <f>ConductivityParameters!D58</f>
        <v>300</v>
      </c>
      <c r="D57" cm="1">
        <f t="array" ref="D57">Conductivity(A57,C57)</f>
        <v>3.5403673212086172E-2</v>
      </c>
    </row>
    <row r="58" spans="1:4">
      <c r="A58" t="str">
        <f>ConductivityParameters!A59</f>
        <v>Polyurethane_4.00_lbft3_Freon</v>
      </c>
      <c r="B58" t="str">
        <f>ConductivityParameters!B59</f>
        <v>polylog</v>
      </c>
      <c r="C58">
        <f>ConductivityParameters!D59</f>
        <v>300</v>
      </c>
      <c r="D58" cm="1">
        <f t="array" ref="D58">Conductivity(A58,C58)</f>
        <v>5.2527300848918428E-2</v>
      </c>
    </row>
    <row r="59" spans="1:4">
      <c r="A59" t="str">
        <f>ConductivityParameters!A60</f>
        <v>PVC_1.25_lbft3_air</v>
      </c>
      <c r="B59" t="str">
        <f>ConductivityParameters!B60</f>
        <v>polylog</v>
      </c>
      <c r="C59">
        <f>ConductivityParameters!D60</f>
        <v>300</v>
      </c>
      <c r="D59" cm="1">
        <f t="array" ref="D59">Conductivity(A59,C59)</f>
        <v>5.259756705737377E-2</v>
      </c>
    </row>
    <row r="60" spans="1:4">
      <c r="A60" t="str">
        <f>ConductivityParameters!A61</f>
        <v>PVC_3.5_lbft3_CO2</v>
      </c>
      <c r="B60" t="str">
        <f>ConductivityParameters!B61</f>
        <v>polylog</v>
      </c>
      <c r="C60">
        <f>ConductivityParameters!D61</f>
        <v>300</v>
      </c>
      <c r="D60" cm="1">
        <f t="array" ref="D60">Conductivity(A60,C60)</f>
        <v>3.7226680136831732E-2</v>
      </c>
    </row>
    <row r="61" spans="1:4">
      <c r="A61" t="str">
        <f>ConductivityParameters!A62</f>
        <v>Stainless_Steel</v>
      </c>
      <c r="B61" t="str">
        <f>ConductivityParameters!B62</f>
        <v>comppoly</v>
      </c>
      <c r="C61">
        <f>ConductivityParameters!D62</f>
        <v>1672</v>
      </c>
      <c r="D61" cm="1">
        <f t="array" ref="D61">Conductivity(A61,C61)</f>
        <v>34.717314433824619</v>
      </c>
    </row>
    <row r="62" spans="1:4">
      <c r="A62" t="str">
        <f>ConductivityParameters!A63</f>
        <v>Stainless_Steel_304</v>
      </c>
      <c r="B62" t="str">
        <f>ConductivityParameters!B63</f>
        <v>comppoly</v>
      </c>
      <c r="C62">
        <f>ConductivityParameters!D63</f>
        <v>1672</v>
      </c>
      <c r="D62" cm="1">
        <f t="array" ref="D62">Conductivity(A62,C62)</f>
        <v>33.620989824078926</v>
      </c>
    </row>
    <row r="63" spans="1:4">
      <c r="A63" t="str">
        <f>ConductivityParameters!A64</f>
        <v>Stainless_Steel_304L</v>
      </c>
      <c r="B63" t="str">
        <f>ConductivityParameters!B64</f>
        <v>polylog</v>
      </c>
      <c r="C63">
        <f>ConductivityParameters!D64</f>
        <v>300</v>
      </c>
      <c r="D63" cm="1">
        <f t="array" ref="D63">Conductivity(A63,C63)</f>
        <v>15.308653824347619</v>
      </c>
    </row>
    <row r="64" spans="1:4">
      <c r="A64" t="str">
        <f>ConductivityParameters!A65</f>
        <v>Stainless_Steel_310_lo</v>
      </c>
      <c r="B64" t="str">
        <f>ConductivityParameters!B65</f>
        <v>Nppoly</v>
      </c>
      <c r="C64">
        <f>ConductivityParameters!D65</f>
        <v>1.67</v>
      </c>
      <c r="D64" cm="1">
        <f t="array" ref="D64">Conductivity(A64,C64)</f>
        <v>8.1103200402199982E-2</v>
      </c>
    </row>
    <row r="65" spans="1:4">
      <c r="A65" t="str">
        <f>ConductivityParameters!A66</f>
        <v>Stainless_Steel_310_hi</v>
      </c>
      <c r="B65" t="str">
        <f>ConductivityParameters!B66</f>
        <v>polylog</v>
      </c>
      <c r="C65">
        <f>ConductivityParameters!D66</f>
        <v>1273.1500000000001</v>
      </c>
      <c r="D65" cm="1">
        <f t="array" ref="D65">Conductivity(A65,C65)</f>
        <v>2.6507784792983244</v>
      </c>
    </row>
    <row r="66" spans="1:4">
      <c r="A66" t="str">
        <f>ConductivityParameters!A67</f>
        <v>Stainless_Steel_316_lo</v>
      </c>
      <c r="B66" t="str">
        <f>ConductivityParameters!B67</f>
        <v>Nppoly</v>
      </c>
      <c r="C66">
        <f>ConductivityParameters!D67</f>
        <v>57.052</v>
      </c>
      <c r="D66" cm="1">
        <f t="array" ref="D66">Conductivity(A66,C66)</f>
        <v>7.4078198616139346E-2</v>
      </c>
    </row>
    <row r="67" spans="1:4">
      <c r="A67" t="str">
        <f>ConductivityParameters!A68</f>
        <v>Stainless_Steel_316_hi</v>
      </c>
      <c r="B67" t="str">
        <f>ConductivityParameters!B68</f>
        <v>polylog</v>
      </c>
      <c r="C67">
        <f>ConductivityParameters!D68</f>
        <v>1670.15</v>
      </c>
      <c r="D67" cm="1">
        <f t="array" ref="D67">Conductivity(A67,C67)</f>
        <v>6.0263661361770477</v>
      </c>
    </row>
    <row r="68" spans="1:4">
      <c r="A68" t="str">
        <f>ConductivityParameters!A69</f>
        <v>Stainless_Steel_321</v>
      </c>
      <c r="B68" t="str">
        <f>ConductivityParameters!B69</f>
        <v>comppoly</v>
      </c>
      <c r="C68">
        <f>ConductivityParameters!D69</f>
        <v>1623.194</v>
      </c>
      <c r="D68" cm="1">
        <f t="array" ref="D68">Conductivity(A68,C68)</f>
        <v>34.804614486488219</v>
      </c>
    </row>
    <row r="69" spans="1:4">
      <c r="A69" t="str">
        <f>ConductivityParameters!A70</f>
        <v>Teflon</v>
      </c>
      <c r="B69" t="str">
        <f>ConductivityParameters!B70</f>
        <v>polylog</v>
      </c>
      <c r="C69">
        <f>ConductivityParameters!D70</f>
        <v>300</v>
      </c>
      <c r="D69" cm="1">
        <f t="array" ref="D69">Conductivity(A69,C69)</f>
        <v>0.27280248430272058</v>
      </c>
    </row>
    <row r="70" spans="1:4">
      <c r="A70" t="str">
        <f>ConductivityParameters!A71</f>
        <v>Ti6Al4V</v>
      </c>
      <c r="B70" t="str">
        <f>ConductivityParameters!B71</f>
        <v>polylog</v>
      </c>
      <c r="C70">
        <f>ConductivityParameters!D71</f>
        <v>1173.1500000000001</v>
      </c>
      <c r="D70" cm="1">
        <f t="array" ref="D70">Conductivity(A70,C70)</f>
        <v>6.8575610502325448</v>
      </c>
    </row>
    <row r="71" spans="1:4">
      <c r="A71" t="str">
        <f>ConductivityParameters!A72</f>
        <v>Titanium_15333</v>
      </c>
      <c r="B71" t="str">
        <f>ConductivityParameters!B72</f>
        <v>polylog</v>
      </c>
      <c r="C71">
        <f>ConductivityParameters!D72</f>
        <v>300</v>
      </c>
      <c r="D71" cm="1">
        <f t="array" ref="D71">Conductivity(A71,C71)</f>
        <v>5.8965268063369338</v>
      </c>
    </row>
    <row r="72" spans="1:4">
      <c r="A72" t="str">
        <f>ConductivityParameters!A73</f>
        <v>Torlon</v>
      </c>
      <c r="B72" t="str">
        <f>ConductivityParameters!B73</f>
        <v>Nppoly</v>
      </c>
      <c r="C72">
        <f>ConductivityParameters!D73</f>
        <v>2.9769999999999999</v>
      </c>
      <c r="D72" cm="1">
        <f t="array" ref="D72">Conductivity(A72,C72)</f>
        <v>2.2814415160817017E-2</v>
      </c>
    </row>
    <row r="73" spans="1:4">
      <c r="A73" t="str">
        <f>ConductivityParameters!A74</f>
        <v>VESPEL</v>
      </c>
      <c r="B73" t="str">
        <f>ConductivityParameters!B74</f>
        <v>Nppoly</v>
      </c>
      <c r="C73">
        <f>ConductivityParameters!D74</f>
        <v>3.032</v>
      </c>
      <c r="D73" cm="1">
        <f t="array" ref="D73">Conductivity(A73,C73)</f>
        <v>8.1933734217878688E-3</v>
      </c>
    </row>
    <row r="74" spans="1:4">
      <c r="A74" t="str">
        <f>ConductivityParameters!A75</f>
        <v>Wood_Balsa_11_lbft3</v>
      </c>
      <c r="B74" t="str">
        <f>ConductivityParameters!B75</f>
        <v>polylog</v>
      </c>
      <c r="C74">
        <f>ConductivityParameters!D75</f>
        <v>300</v>
      </c>
      <c r="D74" cm="1">
        <f t="array" ref="D74">Conductivity(A74,C74)</f>
        <v>0.1257415312916513</v>
      </c>
    </row>
    <row r="75" spans="1:4">
      <c r="A75" t="str">
        <f>ConductivityParameters!A76</f>
        <v>Wood_Balsa_6_lbft3</v>
      </c>
      <c r="B75" t="str">
        <f>ConductivityParameters!B76</f>
        <v>polylog</v>
      </c>
      <c r="C75">
        <f>ConductivityParameters!D76</f>
        <v>300</v>
      </c>
      <c r="D75" cm="1">
        <f t="array" ref="D75">Conductivity(A75,C75)</f>
        <v>5.3288707336152083E-2</v>
      </c>
    </row>
    <row r="76" spans="1:4">
      <c r="A76" t="str">
        <f>ConductivityParameters!A77</f>
        <v>Wood_Beechwood_flatwise</v>
      </c>
      <c r="B76" t="str">
        <f>ConductivityParameters!B77</f>
        <v>polylog</v>
      </c>
      <c r="C76">
        <f>ConductivityParameters!D77</f>
        <v>300</v>
      </c>
      <c r="D76" cm="1">
        <f t="array" ref="D76">Conductivity(A76,C76)</f>
        <v>0.29263924633916105</v>
      </c>
    </row>
    <row r="77" spans="1:4">
      <c r="A77" t="str">
        <f>ConductivityParameters!A78</f>
        <v>Wood_Beechwood_grain</v>
      </c>
      <c r="B77" t="str">
        <f>ConductivityParameters!B78</f>
        <v>polylog</v>
      </c>
      <c r="C77">
        <f>ConductivityParameters!D78</f>
        <v>300</v>
      </c>
      <c r="D77" cm="1">
        <f t="array" ref="D77">Conductivity(A77,C77)</f>
        <v>0.44085790678406062</v>
      </c>
    </row>
    <row r="78" spans="1:4">
      <c r="A78" t="str">
        <f>ConductivityParameters!A79</f>
        <v>Wood_MapleOak</v>
      </c>
      <c r="B78" t="str">
        <f>ConductivityParameters!B79</f>
        <v>powerlaw</v>
      </c>
      <c r="C78">
        <f>ConductivityParameters!D79</f>
        <v>1000</v>
      </c>
      <c r="D78" cm="1">
        <f t="array" ref="D78">Conductivity(A78,C78)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1DB-6E07-48EA-8E23-7C0A30185E73}">
  <sheetPr codeName="Sheet5"/>
  <dimension ref="A1:S79"/>
  <sheetViews>
    <sheetView topLeftCell="A2" workbookViewId="0">
      <selection activeCell="D40" sqref="D40"/>
    </sheetView>
  </sheetViews>
  <sheetFormatPr defaultColWidth="8.77734375" defaultRowHeight="14.4"/>
  <cols>
    <col min="1" max="1" width="28.33203125" bestFit="1" customWidth="1"/>
    <col min="2" max="2" width="13.77734375" bestFit="1" customWidth="1"/>
    <col min="3" max="3" width="11.44140625" bestFit="1" customWidth="1"/>
    <col min="4" max="4" width="12" bestFit="1" customWidth="1"/>
    <col min="5" max="5" width="9.6640625" bestFit="1" customWidth="1"/>
    <col min="6" max="6" width="11.6640625" bestFit="1" customWidth="1"/>
    <col min="7" max="10" width="12.6640625" bestFit="1" customWidth="1"/>
    <col min="11" max="11" width="11" bestFit="1" customWidth="1"/>
    <col min="12" max="14" width="10.6640625" bestFit="1" customWidth="1"/>
    <col min="15" max="15" width="10" bestFit="1" customWidth="1"/>
    <col min="16" max="17" width="9.6640625" bestFit="1" customWidth="1"/>
    <col min="18" max="19" width="10" bestFit="1" customWidth="1"/>
  </cols>
  <sheetData>
    <row r="1" spans="1:19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34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107</v>
      </c>
      <c r="Q1" t="s">
        <v>108</v>
      </c>
      <c r="R1" t="s">
        <v>109</v>
      </c>
      <c r="S1" t="s">
        <v>110</v>
      </c>
    </row>
    <row r="2" spans="1:19">
      <c r="A2" t="s">
        <v>35</v>
      </c>
      <c r="B2" t="s">
        <v>100</v>
      </c>
      <c r="C2">
        <v>0.26400000000000001</v>
      </c>
      <c r="D2">
        <v>1.0609999999999999</v>
      </c>
      <c r="E2" t="s">
        <v>111</v>
      </c>
      <c r="F2">
        <v>0</v>
      </c>
      <c r="G2">
        <v>-2.2200500000000001</v>
      </c>
      <c r="H2">
        <v>2.0771899999999999</v>
      </c>
      <c r="I2">
        <v>29.253599999999999</v>
      </c>
      <c r="J2">
        <v>-18.510400000000001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">
        <v>37</v>
      </c>
      <c r="B3" t="s">
        <v>38</v>
      </c>
      <c r="C3">
        <v>4</v>
      </c>
      <c r="D3">
        <v>300</v>
      </c>
      <c r="E3" t="s">
        <v>112</v>
      </c>
      <c r="F3">
        <v>0</v>
      </c>
      <c r="G3">
        <v>0.63736000000000004</v>
      </c>
      <c r="H3">
        <v>-1.1436999999999999</v>
      </c>
      <c r="I3">
        <v>7.4623999999999997</v>
      </c>
      <c r="J3">
        <v>-12.6905</v>
      </c>
      <c r="K3">
        <v>11.916499999999999</v>
      </c>
      <c r="L3">
        <v>-6.1872100000000003</v>
      </c>
      <c r="M3">
        <v>1.6393899999999999</v>
      </c>
      <c r="N3">
        <v>-0.17266699999999999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">
        <v>39</v>
      </c>
      <c r="B4" t="s">
        <v>38</v>
      </c>
      <c r="C4">
        <v>4</v>
      </c>
      <c r="D4">
        <v>300</v>
      </c>
      <c r="E4" t="s">
        <v>113</v>
      </c>
      <c r="F4">
        <v>0</v>
      </c>
      <c r="G4">
        <v>-0.90932999999999997</v>
      </c>
      <c r="H4">
        <v>5.7510000000000003</v>
      </c>
      <c r="I4">
        <v>-11.112</v>
      </c>
      <c r="J4">
        <v>13.612</v>
      </c>
      <c r="K4">
        <v>-9.3977000000000004</v>
      </c>
      <c r="L4">
        <v>3.6873</v>
      </c>
      <c r="M4">
        <v>-0.77295000000000003</v>
      </c>
      <c r="N4">
        <v>6.7335999999999993E-2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">
        <v>40</v>
      </c>
      <c r="B5" t="s">
        <v>38</v>
      </c>
      <c r="C5">
        <v>4</v>
      </c>
      <c r="D5">
        <v>300</v>
      </c>
      <c r="E5" t="s">
        <v>114</v>
      </c>
      <c r="F5">
        <v>0</v>
      </c>
      <c r="G5">
        <v>7.918E-2</v>
      </c>
      <c r="H5">
        <v>1.0956999999999999</v>
      </c>
      <c r="I5">
        <v>-7.2770000000000001E-2</v>
      </c>
      <c r="J5">
        <v>8.0839999999999995E-2</v>
      </c>
      <c r="K5">
        <v>2.8029999999999999E-2</v>
      </c>
      <c r="L5">
        <v>-9.4640000000000002E-2</v>
      </c>
      <c r="M5">
        <v>4.1790000000000001E-2</v>
      </c>
      <c r="N5">
        <v>-5.7099999999999998E-3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">
        <v>41</v>
      </c>
      <c r="B6" t="s">
        <v>38</v>
      </c>
      <c r="C6">
        <v>4</v>
      </c>
      <c r="D6">
        <v>296</v>
      </c>
      <c r="E6" t="s">
        <v>112</v>
      </c>
      <c r="F6">
        <v>0</v>
      </c>
      <c r="G6">
        <v>22.401399999999999</v>
      </c>
      <c r="H6">
        <v>-141.13399999999999</v>
      </c>
      <c r="I6">
        <v>394.95499999999998</v>
      </c>
      <c r="J6">
        <v>-601.154</v>
      </c>
      <c r="K6">
        <v>547.83199999999999</v>
      </c>
      <c r="L6">
        <v>-305.99700000000001</v>
      </c>
      <c r="M6">
        <v>102.387</v>
      </c>
      <c r="N6">
        <v>-18.810199999999998</v>
      </c>
      <c r="O6">
        <v>1.4576899999999999</v>
      </c>
      <c r="P6">
        <v>0</v>
      </c>
      <c r="Q6">
        <v>0</v>
      </c>
      <c r="R6">
        <v>0</v>
      </c>
      <c r="S6">
        <v>0</v>
      </c>
    </row>
    <row r="7" spans="1:19">
      <c r="A7" t="s">
        <v>42</v>
      </c>
      <c r="B7" t="s">
        <v>38</v>
      </c>
      <c r="C7">
        <v>2</v>
      </c>
      <c r="D7">
        <v>80</v>
      </c>
      <c r="E7" t="s">
        <v>112</v>
      </c>
      <c r="F7">
        <v>0</v>
      </c>
      <c r="G7">
        <v>-0.50014999999999998</v>
      </c>
      <c r="H7">
        <v>1.9319</v>
      </c>
      <c r="I7">
        <v>-1.6954</v>
      </c>
      <c r="J7">
        <v>0.71218000000000004</v>
      </c>
      <c r="K7">
        <v>1.2787999999999999</v>
      </c>
      <c r="L7">
        <v>-1.6145</v>
      </c>
      <c r="M7">
        <v>0.68722000000000005</v>
      </c>
      <c r="N7">
        <v>-0.10501000000000001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">
        <v>20</v>
      </c>
      <c r="B8" t="s">
        <v>38</v>
      </c>
      <c r="C8">
        <v>5</v>
      </c>
      <c r="D8">
        <v>116</v>
      </c>
      <c r="E8" t="s">
        <v>115</v>
      </c>
      <c r="F8">
        <v>0</v>
      </c>
      <c r="G8">
        <v>2.1035000000000002E-2</v>
      </c>
      <c r="H8">
        <v>-1.0183500000000001</v>
      </c>
      <c r="I8">
        <v>4.5408299999999997</v>
      </c>
      <c r="J8">
        <v>-5.0337399999999999</v>
      </c>
      <c r="K8">
        <v>3.2053600000000002</v>
      </c>
      <c r="L8">
        <v>-1.1293299999999999</v>
      </c>
      <c r="M8">
        <v>0.17405699999999999</v>
      </c>
      <c r="N8">
        <v>-3.8151000000000001E-3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">
        <v>21</v>
      </c>
      <c r="B9" t="s">
        <v>100</v>
      </c>
      <c r="C9">
        <v>0.13400000000000001</v>
      </c>
      <c r="D9">
        <v>4.8419999999999996</v>
      </c>
      <c r="E9" t="s">
        <v>116</v>
      </c>
      <c r="F9">
        <v>0</v>
      </c>
      <c r="G9">
        <v>3.9966899999999998E-3</v>
      </c>
      <c r="H9">
        <v>5.2094200000000002E-3</v>
      </c>
      <c r="I9">
        <v>-2.17074E-3</v>
      </c>
      <c r="J9">
        <v>2.4980899999999998E-4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">
        <v>43</v>
      </c>
      <c r="B10" t="s">
        <v>100</v>
      </c>
      <c r="C10">
        <v>0.13400000000000001</v>
      </c>
      <c r="D10">
        <v>4.8419999999999996</v>
      </c>
      <c r="E10" t="s">
        <v>117</v>
      </c>
      <c r="F10">
        <v>0</v>
      </c>
      <c r="G10">
        <v>3.3388900000000002E-3</v>
      </c>
      <c r="H10">
        <v>6.8985899999999996E-3</v>
      </c>
      <c r="I10">
        <v>-2.5481000000000002E-3</v>
      </c>
      <c r="J10">
        <v>2.6481900000000001E-4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">
        <v>44</v>
      </c>
      <c r="B11" t="s">
        <v>100</v>
      </c>
      <c r="C11">
        <v>0.69799999999999995</v>
      </c>
      <c r="D11">
        <v>4.0199999999999996</v>
      </c>
      <c r="E11" t="s">
        <v>118</v>
      </c>
      <c r="F11">
        <v>0</v>
      </c>
      <c r="G11">
        <v>1.05799E-3</v>
      </c>
      <c r="H11">
        <v>4.3668500000000002E-3</v>
      </c>
      <c r="I11">
        <v>-1.2680899999999999E-3</v>
      </c>
      <c r="J11">
        <v>9.2640999999999996E-5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">
        <v>45</v>
      </c>
      <c r="B12" t="s">
        <v>100</v>
      </c>
      <c r="C12">
        <v>0.309</v>
      </c>
      <c r="D12">
        <v>4.0149999999999997</v>
      </c>
      <c r="E12" t="s">
        <v>119</v>
      </c>
      <c r="F12">
        <v>0</v>
      </c>
      <c r="G12">
        <v>2.98036E-3</v>
      </c>
      <c r="H12">
        <v>9.7279399999999992E-3</v>
      </c>
      <c r="I12">
        <v>-4.47993E-3</v>
      </c>
      <c r="J12">
        <v>5.7121400000000001E-4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">
        <v>120</v>
      </c>
      <c r="B13" t="s">
        <v>100</v>
      </c>
      <c r="C13">
        <v>3.03</v>
      </c>
      <c r="D13">
        <v>96.8</v>
      </c>
      <c r="E13" t="s">
        <v>121</v>
      </c>
      <c r="F13">
        <v>9.9890999999999994E-2</v>
      </c>
      <c r="G13">
        <v>2.8245599999999999E-2</v>
      </c>
      <c r="H13">
        <v>-6.3319099999999996E-4</v>
      </c>
      <c r="I13">
        <v>3.6319899999999998E-6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">
        <v>122</v>
      </c>
      <c r="B14" t="s">
        <v>38</v>
      </c>
      <c r="C14">
        <v>298</v>
      </c>
      <c r="D14">
        <v>1070</v>
      </c>
      <c r="E14" t="s">
        <v>123</v>
      </c>
      <c r="F14">
        <v>10.9377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-12.6435</v>
      </c>
      <c r="Q14">
        <v>5.2809400000000002</v>
      </c>
      <c r="R14">
        <v>-0.69499100000000003</v>
      </c>
      <c r="S14">
        <v>0</v>
      </c>
    </row>
    <row r="15" spans="1:19">
      <c r="A15" t="s">
        <v>124</v>
      </c>
      <c r="B15" t="s">
        <v>38</v>
      </c>
      <c r="C15">
        <v>0</v>
      </c>
      <c r="D15">
        <v>325</v>
      </c>
      <c r="E15" t="s">
        <v>125</v>
      </c>
      <c r="F15">
        <v>-1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-620.52099999999996</v>
      </c>
      <c r="R15">
        <v>859.33799999999997</v>
      </c>
      <c r="S15">
        <v>-396.77</v>
      </c>
    </row>
    <row r="16" spans="1:19">
      <c r="A16" t="s">
        <v>46</v>
      </c>
      <c r="B16" t="s">
        <v>47</v>
      </c>
      <c r="C16">
        <v>4</v>
      </c>
      <c r="D16">
        <v>300</v>
      </c>
      <c r="E16" t="s">
        <v>113</v>
      </c>
      <c r="F16">
        <v>0</v>
      </c>
      <c r="G16">
        <v>2.2153999999999998</v>
      </c>
      <c r="H16">
        <v>-0.47460999999999998</v>
      </c>
      <c r="I16">
        <v>-0.88068000000000002</v>
      </c>
      <c r="J16">
        <v>0.13871</v>
      </c>
      <c r="K16">
        <v>0.29504999999999998</v>
      </c>
      <c r="L16">
        <v>-2.043E-2</v>
      </c>
      <c r="M16">
        <v>-4.8309999999999999E-2</v>
      </c>
      <c r="N16">
        <v>1.281E-3</v>
      </c>
      <c r="O16">
        <v>3.2070000000000002E-3</v>
      </c>
      <c r="P16">
        <v>0</v>
      </c>
      <c r="Q16">
        <v>0</v>
      </c>
      <c r="R16">
        <v>0</v>
      </c>
      <c r="S16">
        <v>0</v>
      </c>
    </row>
    <row r="17" spans="1:19">
      <c r="A17" t="s">
        <v>48</v>
      </c>
      <c r="B17" t="s">
        <v>47</v>
      </c>
      <c r="C17">
        <v>4</v>
      </c>
      <c r="D17">
        <v>300</v>
      </c>
      <c r="E17" t="s">
        <v>112</v>
      </c>
      <c r="F17">
        <v>0</v>
      </c>
      <c r="G17">
        <v>2.3797000000000001</v>
      </c>
      <c r="H17">
        <v>-0.49180000000000001</v>
      </c>
      <c r="I17">
        <v>-0.98614999999999997</v>
      </c>
      <c r="J17">
        <v>0.13941999999999999</v>
      </c>
      <c r="K17">
        <v>0.30475000000000002</v>
      </c>
      <c r="L17">
        <v>-1.9713000000000001E-2</v>
      </c>
      <c r="M17">
        <v>-4.6897000000000001E-2</v>
      </c>
      <c r="N17">
        <v>1.1969000000000001E-3</v>
      </c>
      <c r="O17">
        <v>2.9987999999999998E-3</v>
      </c>
      <c r="P17">
        <v>0</v>
      </c>
      <c r="Q17">
        <v>0</v>
      </c>
      <c r="R17">
        <v>0</v>
      </c>
      <c r="S17">
        <v>0</v>
      </c>
    </row>
    <row r="18" spans="1:19">
      <c r="A18" t="s">
        <v>49</v>
      </c>
      <c r="B18" t="s">
        <v>47</v>
      </c>
      <c r="C18">
        <v>4</v>
      </c>
      <c r="D18">
        <v>300</v>
      </c>
      <c r="E18" t="s">
        <v>113</v>
      </c>
      <c r="F18">
        <v>0</v>
      </c>
      <c r="G18">
        <v>1.357</v>
      </c>
      <c r="H18">
        <v>0.39810000000000001</v>
      </c>
      <c r="I18">
        <v>2.669</v>
      </c>
      <c r="J18">
        <v>-0.1346</v>
      </c>
      <c r="K18">
        <v>-0.66830000000000001</v>
      </c>
      <c r="L18">
        <v>1.342E-2</v>
      </c>
      <c r="M18">
        <v>5.7729999999999997E-2</v>
      </c>
      <c r="N18">
        <v>2.1469999999999999E-4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">
        <v>50</v>
      </c>
      <c r="B19" t="s">
        <v>47</v>
      </c>
      <c r="C19">
        <v>4</v>
      </c>
      <c r="D19">
        <v>300</v>
      </c>
      <c r="E19" t="s">
        <v>112</v>
      </c>
      <c r="F19">
        <v>0</v>
      </c>
      <c r="G19">
        <v>1.8743000000000001</v>
      </c>
      <c r="H19">
        <v>-0.41538000000000003</v>
      </c>
      <c r="I19">
        <v>-0.6018</v>
      </c>
      <c r="J19">
        <v>0.13294</v>
      </c>
      <c r="K19">
        <v>0.26425999999999999</v>
      </c>
      <c r="L19">
        <v>-2.1899999999999999E-2</v>
      </c>
      <c r="M19">
        <v>-5.1276000000000002E-2</v>
      </c>
      <c r="N19">
        <v>1.4871000000000001E-3</v>
      </c>
      <c r="O19">
        <v>3.7230000000000002E-3</v>
      </c>
      <c r="P19">
        <v>0</v>
      </c>
      <c r="Q19">
        <v>0</v>
      </c>
      <c r="R19">
        <v>0</v>
      </c>
      <c r="S19">
        <v>0</v>
      </c>
    </row>
    <row r="20" spans="1:19">
      <c r="A20" t="s">
        <v>51</v>
      </c>
      <c r="B20" t="s">
        <v>47</v>
      </c>
      <c r="C20">
        <v>4</v>
      </c>
      <c r="D20">
        <v>300</v>
      </c>
      <c r="E20" t="s">
        <v>112</v>
      </c>
      <c r="F20">
        <v>0</v>
      </c>
      <c r="G20">
        <v>2.8075000000000001</v>
      </c>
      <c r="H20">
        <v>-0.54074</v>
      </c>
      <c r="I20">
        <v>-1.2777000000000001</v>
      </c>
      <c r="J20">
        <v>0.15362000000000001</v>
      </c>
      <c r="K20">
        <v>0.36443999999999999</v>
      </c>
      <c r="L20">
        <v>-2.1049999999999999E-2</v>
      </c>
      <c r="M20">
        <v>-5.1727000000000002E-2</v>
      </c>
      <c r="N20">
        <v>1.2225999999999999E-3</v>
      </c>
      <c r="O20">
        <v>3.0964E-3</v>
      </c>
      <c r="P20">
        <v>0</v>
      </c>
      <c r="Q20">
        <v>0</v>
      </c>
      <c r="R20">
        <v>0</v>
      </c>
      <c r="S20">
        <v>0</v>
      </c>
    </row>
    <row r="21" spans="1:19">
      <c r="A21" t="s">
        <v>52</v>
      </c>
      <c r="B21" t="s">
        <v>38</v>
      </c>
      <c r="C21">
        <v>4</v>
      </c>
      <c r="D21">
        <v>300</v>
      </c>
      <c r="E21" t="s">
        <v>126</v>
      </c>
      <c r="F21">
        <v>0</v>
      </c>
      <c r="G21">
        <v>-4.1235999999999997</v>
      </c>
      <c r="H21">
        <v>13.788</v>
      </c>
      <c r="I21">
        <v>-26.068000000000001</v>
      </c>
      <c r="J21">
        <v>26.271999999999998</v>
      </c>
      <c r="K21">
        <v>-14.663</v>
      </c>
      <c r="L21">
        <v>4.4954000000000001</v>
      </c>
      <c r="M21">
        <v>-0.6905</v>
      </c>
      <c r="N21">
        <v>3.9699999999999999E-2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 t="s">
        <v>53</v>
      </c>
      <c r="B22" t="s">
        <v>38</v>
      </c>
      <c r="C22">
        <v>4</v>
      </c>
      <c r="D22">
        <v>300</v>
      </c>
      <c r="E22" t="s">
        <v>126</v>
      </c>
      <c r="F22">
        <v>0</v>
      </c>
      <c r="G22">
        <v>-2.6482700000000001</v>
      </c>
      <c r="H22">
        <v>8.8022799999999997</v>
      </c>
      <c r="I22">
        <v>-24.899799999999999</v>
      </c>
      <c r="J22">
        <v>41.162500000000001</v>
      </c>
      <c r="K22">
        <v>-39.875399999999999</v>
      </c>
      <c r="L22">
        <v>23.177800000000001</v>
      </c>
      <c r="M22">
        <v>-7.9563499999999996</v>
      </c>
      <c r="N22">
        <v>1.4880599999999999</v>
      </c>
      <c r="O22">
        <v>-0.11701</v>
      </c>
      <c r="P22">
        <v>0</v>
      </c>
      <c r="Q22">
        <v>0</v>
      </c>
      <c r="R22">
        <v>0</v>
      </c>
      <c r="S22">
        <v>0</v>
      </c>
    </row>
    <row r="23" spans="1:19">
      <c r="A23" t="s">
        <v>54</v>
      </c>
      <c r="B23" t="s">
        <v>100</v>
      </c>
      <c r="C23">
        <v>0.30399999999999999</v>
      </c>
      <c r="D23">
        <v>2.9710000000000001</v>
      </c>
      <c r="E23" t="s">
        <v>127</v>
      </c>
      <c r="F23">
        <v>0</v>
      </c>
      <c r="G23">
        <v>-2.5545899999999998E-3</v>
      </c>
      <c r="H23">
        <v>1.9429800000000001E-2</v>
      </c>
      <c r="I23">
        <v>-7.6321100000000001E-3</v>
      </c>
      <c r="J23">
        <v>1.0902500000000001E-3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 t="s">
        <v>55</v>
      </c>
      <c r="B24" t="s">
        <v>38</v>
      </c>
      <c r="C24">
        <v>38</v>
      </c>
      <c r="D24">
        <v>300</v>
      </c>
      <c r="E24" t="s">
        <v>113</v>
      </c>
      <c r="F24">
        <v>0</v>
      </c>
      <c r="G24">
        <v>689.53200000000004</v>
      </c>
      <c r="H24">
        <v>-2543.63</v>
      </c>
      <c r="I24">
        <v>3967.07</v>
      </c>
      <c r="J24">
        <v>-3400.37</v>
      </c>
      <c r="K24">
        <v>1731.72</v>
      </c>
      <c r="L24">
        <v>-524.30899999999997</v>
      </c>
      <c r="M24">
        <v>87.424899999999994</v>
      </c>
      <c r="N24">
        <v>-6.19597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">
        <v>56</v>
      </c>
      <c r="B25" t="s">
        <v>38</v>
      </c>
      <c r="C25">
        <v>84</v>
      </c>
      <c r="D25">
        <v>300</v>
      </c>
      <c r="E25" t="s">
        <v>112</v>
      </c>
      <c r="F25">
        <v>0</v>
      </c>
      <c r="G25">
        <v>2909.91</v>
      </c>
      <c r="H25">
        <v>-8616.64</v>
      </c>
      <c r="I25">
        <v>10542.7</v>
      </c>
      <c r="J25">
        <v>-6832.07</v>
      </c>
      <c r="K25">
        <v>2475.33</v>
      </c>
      <c r="L25">
        <v>-475.7</v>
      </c>
      <c r="M25">
        <v>37.900300000000001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">
        <v>57</v>
      </c>
      <c r="B26" t="s">
        <v>38</v>
      </c>
      <c r="C26">
        <v>80</v>
      </c>
      <c r="D26">
        <v>300</v>
      </c>
      <c r="E26" t="s">
        <v>113</v>
      </c>
      <c r="F26">
        <v>0</v>
      </c>
      <c r="G26">
        <v>-2141.58</v>
      </c>
      <c r="H26">
        <v>4639.74</v>
      </c>
      <c r="I26">
        <v>-3249.41</v>
      </c>
      <c r="J26">
        <v>51.724200000000003</v>
      </c>
      <c r="K26">
        <v>1101.98</v>
      </c>
      <c r="L26">
        <v>-613.85599999999999</v>
      </c>
      <c r="M26">
        <v>141.143</v>
      </c>
      <c r="N26">
        <v>-12.3133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">
        <v>58</v>
      </c>
      <c r="B27" t="s">
        <v>59</v>
      </c>
      <c r="C27">
        <v>0.15</v>
      </c>
      <c r="D27">
        <v>1</v>
      </c>
      <c r="E27" t="s">
        <v>23</v>
      </c>
      <c r="F27">
        <v>0</v>
      </c>
      <c r="G27">
        <v>300</v>
      </c>
      <c r="H27">
        <v>0.01</v>
      </c>
      <c r="I27">
        <v>1.76</v>
      </c>
      <c r="J27">
        <v>5.1000000000000004E-3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">
        <v>60</v>
      </c>
      <c r="B28" t="s">
        <v>38</v>
      </c>
      <c r="C28">
        <v>0.06</v>
      </c>
      <c r="D28">
        <v>4.22</v>
      </c>
      <c r="E28" t="s">
        <v>23</v>
      </c>
      <c r="F28">
        <v>0</v>
      </c>
      <c r="G28">
        <v>-2.6969799999999999</v>
      </c>
      <c r="H28">
        <v>1.57311</v>
      </c>
      <c r="I28">
        <v>0.61035099999999998</v>
      </c>
      <c r="J28">
        <v>0.246304</v>
      </c>
      <c r="K28">
        <v>-5.8483599999999997E-2</v>
      </c>
      <c r="L28">
        <v>-9.3729900000000005E-2</v>
      </c>
      <c r="M28">
        <v>-2.6652700000000001E-2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">
        <v>61</v>
      </c>
      <c r="B29" t="s">
        <v>59</v>
      </c>
      <c r="C29">
        <v>0.1</v>
      </c>
      <c r="D29">
        <v>5</v>
      </c>
      <c r="E29" t="s">
        <v>23</v>
      </c>
      <c r="F29">
        <v>0</v>
      </c>
      <c r="G29">
        <v>5</v>
      </c>
      <c r="H29">
        <v>0.01</v>
      </c>
      <c r="I29">
        <v>1.2715000000000001</v>
      </c>
      <c r="J29">
        <v>7.4999999999999997E-3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">
        <v>62</v>
      </c>
      <c r="B30" t="s">
        <v>38</v>
      </c>
      <c r="C30">
        <v>0.06</v>
      </c>
      <c r="D30">
        <v>4.22</v>
      </c>
      <c r="E30" t="s">
        <v>23</v>
      </c>
      <c r="F30">
        <v>0</v>
      </c>
      <c r="G30">
        <v>-2.6955900000000002</v>
      </c>
      <c r="H30">
        <v>1.5765199999999999</v>
      </c>
      <c r="I30">
        <v>0.58112200000000003</v>
      </c>
      <c r="J30">
        <v>0.20872099999999999</v>
      </c>
      <c r="K30">
        <v>3.57325E-3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">
        <v>63</v>
      </c>
      <c r="B31" t="s">
        <v>38</v>
      </c>
      <c r="C31">
        <v>6</v>
      </c>
      <c r="D31">
        <v>275</v>
      </c>
      <c r="E31" t="s">
        <v>112</v>
      </c>
      <c r="F31">
        <v>0</v>
      </c>
      <c r="G31">
        <v>-8.2892100000000006</v>
      </c>
      <c r="H31">
        <v>39.447000000000003</v>
      </c>
      <c r="I31">
        <v>-83.435299999999998</v>
      </c>
      <c r="J31">
        <v>98.168999999999997</v>
      </c>
      <c r="K31">
        <v>-67.208799999999997</v>
      </c>
      <c r="L31">
        <v>26.708200000000001</v>
      </c>
      <c r="M31">
        <v>-5.7205000000000004</v>
      </c>
      <c r="N31">
        <v>0.51114999999999999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 t="s">
        <v>64</v>
      </c>
      <c r="B32" t="s">
        <v>38</v>
      </c>
      <c r="C32">
        <v>4</v>
      </c>
      <c r="D32">
        <v>300</v>
      </c>
      <c r="E32" t="s">
        <v>112</v>
      </c>
      <c r="F32">
        <v>0</v>
      </c>
      <c r="G32">
        <v>-2.7063999999999999</v>
      </c>
      <c r="H32">
        <v>8.5190999999999999</v>
      </c>
      <c r="I32">
        <v>-15.923</v>
      </c>
      <c r="J32">
        <v>18.276</v>
      </c>
      <c r="K32">
        <v>-11.9116</v>
      </c>
      <c r="L32">
        <v>4.4031799999999999</v>
      </c>
      <c r="M32">
        <v>-0.86017999999999994</v>
      </c>
      <c r="N32">
        <v>6.8507999999999999E-2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 t="s">
        <v>65</v>
      </c>
      <c r="B33" t="s">
        <v>32</v>
      </c>
      <c r="C33">
        <v>0</v>
      </c>
      <c r="D33">
        <v>307</v>
      </c>
      <c r="E33" t="s">
        <v>128</v>
      </c>
      <c r="F33">
        <v>0.53600000000000003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-2.3821699999999999</v>
      </c>
      <c r="R33">
        <v>0.42834299999999997</v>
      </c>
      <c r="S33">
        <v>0.57257499999999995</v>
      </c>
    </row>
    <row r="34" spans="1:19">
      <c r="A34" t="s">
        <v>129</v>
      </c>
      <c r="B34" t="s">
        <v>38</v>
      </c>
      <c r="C34">
        <v>4</v>
      </c>
      <c r="D34">
        <v>300</v>
      </c>
      <c r="E34" t="s">
        <v>23</v>
      </c>
      <c r="F34">
        <v>0</v>
      </c>
      <c r="G34">
        <v>5.7310100000000004</v>
      </c>
      <c r="H34">
        <v>-39.5199</v>
      </c>
      <c r="I34">
        <v>79.931299999999993</v>
      </c>
      <c r="J34">
        <v>-83.857200000000006</v>
      </c>
      <c r="K34">
        <v>50.915700000000001</v>
      </c>
      <c r="L34">
        <v>-17.983499999999999</v>
      </c>
      <c r="M34">
        <v>3.4241299999999999</v>
      </c>
      <c r="N34">
        <v>-0.27133000000000002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 t="s">
        <v>22</v>
      </c>
      <c r="B35" t="s">
        <v>100</v>
      </c>
      <c r="C35">
        <v>0.29799999999999999</v>
      </c>
      <c r="D35">
        <v>2.851</v>
      </c>
      <c r="E35" t="s">
        <v>130</v>
      </c>
      <c r="F35">
        <v>0</v>
      </c>
      <c r="G35">
        <v>-1.14537E-4</v>
      </c>
      <c r="H35">
        <v>8.6098600000000004E-3</v>
      </c>
      <c r="I35">
        <v>-5.8609700000000001E-3</v>
      </c>
      <c r="J35">
        <v>1.1403100000000001E-3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 t="s">
        <v>66</v>
      </c>
      <c r="B36" t="s">
        <v>67</v>
      </c>
      <c r="C36">
        <v>6</v>
      </c>
      <c r="D36">
        <v>302</v>
      </c>
      <c r="E36" t="s">
        <v>131</v>
      </c>
      <c r="F36">
        <v>0</v>
      </c>
      <c r="G36">
        <v>-2.65</v>
      </c>
      <c r="H36">
        <v>1.98664</v>
      </c>
      <c r="I36">
        <v>1.24851</v>
      </c>
      <c r="J36">
        <v>0.56999999999999995</v>
      </c>
      <c r="K36">
        <v>-8</v>
      </c>
      <c r="L36">
        <v>0.77785700000000002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 t="s">
        <v>68</v>
      </c>
      <c r="B37" t="s">
        <v>67</v>
      </c>
      <c r="C37">
        <v>0.1</v>
      </c>
      <c r="D37">
        <v>291</v>
      </c>
      <c r="E37" t="s">
        <v>132</v>
      </c>
      <c r="F37">
        <v>0</v>
      </c>
      <c r="G37">
        <v>-2.4218999999999999</v>
      </c>
      <c r="H37">
        <v>1.98664</v>
      </c>
      <c r="I37">
        <v>1.2574399999999999</v>
      </c>
      <c r="J37">
        <v>0.96120899999999998</v>
      </c>
      <c r="K37">
        <v>-9.6105999999999998</v>
      </c>
      <c r="L37">
        <v>0.77785700000000002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 t="s">
        <v>24</v>
      </c>
      <c r="B38" t="s">
        <v>38</v>
      </c>
      <c r="C38">
        <v>4</v>
      </c>
      <c r="D38">
        <v>296</v>
      </c>
      <c r="E38" t="s">
        <v>112</v>
      </c>
      <c r="F38">
        <v>0</v>
      </c>
      <c r="G38">
        <v>38.963500000000003</v>
      </c>
      <c r="H38">
        <v>-221.405</v>
      </c>
      <c r="I38">
        <v>597.56600000000003</v>
      </c>
      <c r="J38">
        <v>-900.93799999999999</v>
      </c>
      <c r="K38">
        <v>816.40499999999997</v>
      </c>
      <c r="L38">
        <v>-455.08300000000003</v>
      </c>
      <c r="M38">
        <v>152.94</v>
      </c>
      <c r="N38">
        <v>-28.4512</v>
      </c>
      <c r="O38">
        <v>2.25162</v>
      </c>
      <c r="P38">
        <v>0</v>
      </c>
      <c r="Q38">
        <v>0</v>
      </c>
      <c r="R38">
        <v>0</v>
      </c>
      <c r="S38">
        <v>0</v>
      </c>
    </row>
    <row r="39" spans="1:19">
      <c r="A39" t="s">
        <v>25</v>
      </c>
      <c r="B39" t="s">
        <v>100</v>
      </c>
      <c r="C39">
        <v>0.33700000000000002</v>
      </c>
      <c r="D39">
        <v>3.2130000000000001</v>
      </c>
      <c r="E39" t="s">
        <v>133</v>
      </c>
      <c r="F39">
        <v>0</v>
      </c>
      <c r="G39">
        <v>-1.1962699999999999E-3</v>
      </c>
      <c r="H39">
        <v>4.6159299999999999E-3</v>
      </c>
      <c r="I39">
        <v>9.7055100000000005E-4</v>
      </c>
      <c r="J39">
        <v>-2.26171E-4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>
      <c r="A40" t="s">
        <v>69</v>
      </c>
      <c r="B40" t="s">
        <v>32</v>
      </c>
      <c r="C40">
        <v>0.01</v>
      </c>
      <c r="D40">
        <v>1180</v>
      </c>
      <c r="E40" t="s">
        <v>134</v>
      </c>
      <c r="F40">
        <v>84.295299999999997</v>
      </c>
      <c r="G40">
        <v>6.0979400000000003E-2</v>
      </c>
      <c r="H40">
        <v>1.44929E-2</v>
      </c>
      <c r="I40">
        <v>-3.5686399999999998E-4</v>
      </c>
      <c r="J40">
        <v>2.3986000000000002E-6</v>
      </c>
      <c r="K40">
        <v>0</v>
      </c>
      <c r="L40">
        <v>0</v>
      </c>
      <c r="M40">
        <v>0</v>
      </c>
      <c r="N40">
        <v>0</v>
      </c>
      <c r="O40">
        <v>0</v>
      </c>
      <c r="P40">
        <v>-0.49365199999999998</v>
      </c>
      <c r="Q40">
        <v>1.91869</v>
      </c>
      <c r="R40">
        <v>-0.874471</v>
      </c>
      <c r="S40">
        <v>0.16119700000000001</v>
      </c>
    </row>
    <row r="41" spans="1:19">
      <c r="A41" t="s">
        <v>26</v>
      </c>
      <c r="B41" t="s">
        <v>38</v>
      </c>
      <c r="C41">
        <v>2</v>
      </c>
      <c r="D41">
        <v>373</v>
      </c>
      <c r="E41" t="s">
        <v>135</v>
      </c>
      <c r="F41">
        <v>0</v>
      </c>
      <c r="G41">
        <v>10.7826</v>
      </c>
      <c r="H41">
        <v>-72.130700000000004</v>
      </c>
      <c r="I41">
        <v>228.57400000000001</v>
      </c>
      <c r="J41">
        <v>-384.50400000000002</v>
      </c>
      <c r="K41">
        <v>381.43799999999999</v>
      </c>
      <c r="L41">
        <v>-228.83799999999999</v>
      </c>
      <c r="M41">
        <v>81.266599999999997</v>
      </c>
      <c r="N41">
        <v>-15.691000000000001</v>
      </c>
      <c r="O41">
        <v>1.26814</v>
      </c>
      <c r="P41">
        <v>0</v>
      </c>
      <c r="Q41">
        <v>0</v>
      </c>
      <c r="R41">
        <v>0</v>
      </c>
      <c r="S41">
        <v>0</v>
      </c>
    </row>
    <row r="42" spans="1:19">
      <c r="A42" t="s">
        <v>70</v>
      </c>
      <c r="B42" t="s">
        <v>38</v>
      </c>
      <c r="C42">
        <v>1</v>
      </c>
      <c r="D42">
        <v>83</v>
      </c>
      <c r="E42" t="s">
        <v>113</v>
      </c>
      <c r="F42">
        <v>0</v>
      </c>
      <c r="G42">
        <v>-1.37737</v>
      </c>
      <c r="H42">
        <v>-3.4066800000000002</v>
      </c>
      <c r="I42">
        <v>20.584199999999999</v>
      </c>
      <c r="J42">
        <v>-53.124400000000001</v>
      </c>
      <c r="K42">
        <v>73.247600000000006</v>
      </c>
      <c r="L42">
        <v>-57.654600000000002</v>
      </c>
      <c r="M42">
        <v>26.119199999999999</v>
      </c>
      <c r="N42">
        <v>-6.3479000000000001</v>
      </c>
      <c r="O42">
        <v>0.64033099999999998</v>
      </c>
      <c r="P42">
        <v>0</v>
      </c>
      <c r="Q42">
        <v>0</v>
      </c>
      <c r="R42">
        <v>0</v>
      </c>
      <c r="S42">
        <v>0</v>
      </c>
    </row>
    <row r="43" spans="1:19">
      <c r="A43" t="s">
        <v>71</v>
      </c>
      <c r="B43" t="s">
        <v>38</v>
      </c>
      <c r="C43">
        <v>0.11600000000000001</v>
      </c>
      <c r="D43">
        <v>9.2319999999999993</v>
      </c>
      <c r="E43" t="s">
        <v>136</v>
      </c>
      <c r="F43">
        <v>-1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-2.31297</v>
      </c>
      <c r="Q43">
        <v>1.4872700000000001</v>
      </c>
      <c r="R43">
        <v>0.26238800000000001</v>
      </c>
      <c r="S43">
        <v>0.44439200000000001</v>
      </c>
    </row>
    <row r="44" spans="1:19">
      <c r="A44" t="s">
        <v>72</v>
      </c>
      <c r="B44" t="s">
        <v>38</v>
      </c>
      <c r="C44">
        <v>4</v>
      </c>
      <c r="D44">
        <v>300</v>
      </c>
      <c r="E44" t="s">
        <v>23</v>
      </c>
      <c r="F44">
        <v>0</v>
      </c>
      <c r="G44">
        <v>-1.5054000000000001</v>
      </c>
      <c r="H44">
        <v>1.4031800000000001</v>
      </c>
      <c r="I44">
        <v>0.17197399999999999</v>
      </c>
      <c r="J44">
        <v>-0.12956400000000001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>
      <c r="A45" t="s">
        <v>73</v>
      </c>
      <c r="B45" t="s">
        <v>38</v>
      </c>
      <c r="C45">
        <v>4</v>
      </c>
      <c r="D45">
        <v>300</v>
      </c>
      <c r="E45" t="s">
        <v>112</v>
      </c>
      <c r="F45">
        <v>0</v>
      </c>
      <c r="G45">
        <v>-3.5785</v>
      </c>
      <c r="H45">
        <v>20.803999999999998</v>
      </c>
      <c r="I45">
        <v>-55.826000000000001</v>
      </c>
      <c r="J45">
        <v>87.811999999999998</v>
      </c>
      <c r="K45">
        <v>-83.501599999999996</v>
      </c>
      <c r="L45">
        <v>49.08</v>
      </c>
      <c r="M45">
        <v>-17.434799999999999</v>
      </c>
      <c r="N45">
        <v>3.4277000000000002</v>
      </c>
      <c r="O45">
        <v>-0.28621999999999997</v>
      </c>
      <c r="P45">
        <v>0</v>
      </c>
      <c r="Q45">
        <v>0</v>
      </c>
      <c r="R45">
        <v>0</v>
      </c>
      <c r="S45">
        <v>0</v>
      </c>
    </row>
    <row r="46" spans="1:19">
      <c r="A46" t="s">
        <v>74</v>
      </c>
      <c r="B46" t="s">
        <v>38</v>
      </c>
      <c r="C46">
        <v>4</v>
      </c>
      <c r="D46">
        <v>300</v>
      </c>
      <c r="E46" t="s">
        <v>112</v>
      </c>
      <c r="F46">
        <v>0</v>
      </c>
      <c r="G46">
        <v>0.89480999999999999</v>
      </c>
      <c r="H46">
        <v>-8.1997999999999998</v>
      </c>
      <c r="I46">
        <v>22.096</v>
      </c>
      <c r="J46">
        <v>-27.645</v>
      </c>
      <c r="K46">
        <v>19.752400000000002</v>
      </c>
      <c r="L46">
        <v>-8.1113</v>
      </c>
      <c r="M46">
        <v>1.7786599999999999</v>
      </c>
      <c r="N46">
        <v>-0.16172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>
      <c r="A47" t="s">
        <v>75</v>
      </c>
      <c r="B47" t="s">
        <v>38</v>
      </c>
      <c r="C47">
        <v>4</v>
      </c>
      <c r="D47">
        <v>300</v>
      </c>
      <c r="E47" t="s">
        <v>112</v>
      </c>
      <c r="F47">
        <v>0</v>
      </c>
      <c r="G47">
        <v>-0.57245000000000001</v>
      </c>
      <c r="H47">
        <v>-0.33593000000000001</v>
      </c>
      <c r="I47">
        <v>3.9379</v>
      </c>
      <c r="J47">
        <v>-5.4588999999999999</v>
      </c>
      <c r="K47">
        <v>4.2336999999999998</v>
      </c>
      <c r="L47">
        <v>-1.8653</v>
      </c>
      <c r="M47">
        <v>0.43223</v>
      </c>
      <c r="N47">
        <v>-4.1207000000000001E-2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>
      <c r="A48" t="s">
        <v>76</v>
      </c>
      <c r="B48" t="s">
        <v>38</v>
      </c>
      <c r="C48">
        <v>4</v>
      </c>
      <c r="D48">
        <v>300</v>
      </c>
      <c r="E48" t="s">
        <v>112</v>
      </c>
      <c r="F48">
        <v>0</v>
      </c>
      <c r="G48">
        <v>-7.1278499999999995E-2</v>
      </c>
      <c r="H48">
        <v>-3.4873500000000002</v>
      </c>
      <c r="I48">
        <v>10.6547</v>
      </c>
      <c r="J48">
        <v>-12.9153</v>
      </c>
      <c r="K48">
        <v>8.8906600000000005</v>
      </c>
      <c r="L48">
        <v>-3.5148199999999998</v>
      </c>
      <c r="M48">
        <v>0.74364300000000005</v>
      </c>
      <c r="N48">
        <v>-6.5788399999999997E-2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>
      <c r="A49" t="s">
        <v>77</v>
      </c>
      <c r="B49" t="s">
        <v>38</v>
      </c>
      <c r="C49">
        <v>4</v>
      </c>
      <c r="D49">
        <v>300</v>
      </c>
      <c r="E49" t="s">
        <v>112</v>
      </c>
      <c r="F49">
        <v>0</v>
      </c>
      <c r="G49">
        <v>-2.6135000000000002</v>
      </c>
      <c r="H49">
        <v>2.3239000000000001</v>
      </c>
      <c r="I49">
        <v>-4.7586000000000004</v>
      </c>
      <c r="J49">
        <v>7.1601999999999997</v>
      </c>
      <c r="K49">
        <v>-4.9154999999999998</v>
      </c>
      <c r="L49">
        <v>1.6324000000000001</v>
      </c>
      <c r="M49">
        <v>-0.25069999999999998</v>
      </c>
      <c r="N49">
        <v>1.3100000000000001E-2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>
      <c r="A50" t="s">
        <v>78</v>
      </c>
      <c r="B50" t="s">
        <v>32</v>
      </c>
      <c r="C50">
        <v>3.22</v>
      </c>
      <c r="D50">
        <v>448</v>
      </c>
      <c r="E50" t="s">
        <v>137</v>
      </c>
      <c r="F50">
        <v>66.760000000000005</v>
      </c>
      <c r="G50">
        <v>0.30777199999999999</v>
      </c>
      <c r="H50">
        <v>1.8189500000000001E-2</v>
      </c>
      <c r="I50">
        <v>-6.0862700000000004E-4</v>
      </c>
      <c r="J50">
        <v>5.4774899999999998E-6</v>
      </c>
      <c r="K50">
        <v>0</v>
      </c>
      <c r="L50">
        <v>0</v>
      </c>
      <c r="M50">
        <v>0</v>
      </c>
      <c r="N50">
        <v>0</v>
      </c>
      <c r="O50">
        <v>0</v>
      </c>
      <c r="P50">
        <v>27.909800000000001</v>
      </c>
      <c r="Q50">
        <v>-38.5396</v>
      </c>
      <c r="R50">
        <v>18.288799999999998</v>
      </c>
      <c r="S50">
        <v>-2.8115000000000001</v>
      </c>
    </row>
    <row r="51" spans="1:19">
      <c r="A51" t="s">
        <v>27</v>
      </c>
      <c r="B51" t="s">
        <v>38</v>
      </c>
      <c r="C51">
        <v>3</v>
      </c>
      <c r="D51">
        <v>298</v>
      </c>
      <c r="E51" t="s">
        <v>135</v>
      </c>
      <c r="F51">
        <v>0</v>
      </c>
      <c r="G51">
        <v>-7.3345000000000002</v>
      </c>
      <c r="H51">
        <v>80.855000000000004</v>
      </c>
      <c r="I51">
        <v>-268.44099999999997</v>
      </c>
      <c r="J51">
        <v>481.62900000000002</v>
      </c>
      <c r="K51">
        <v>-503.89</v>
      </c>
      <c r="L51">
        <v>314.81299999999999</v>
      </c>
      <c r="M51">
        <v>-115.699</v>
      </c>
      <c r="N51">
        <v>23.095700000000001</v>
      </c>
      <c r="O51">
        <v>-1.9336199999999999</v>
      </c>
      <c r="P51">
        <v>0</v>
      </c>
      <c r="Q51">
        <v>0</v>
      </c>
      <c r="R51">
        <v>0</v>
      </c>
      <c r="S51">
        <v>0</v>
      </c>
    </row>
    <row r="52" spans="1:19">
      <c r="A52" t="s">
        <v>79</v>
      </c>
      <c r="B52" t="s">
        <v>38</v>
      </c>
      <c r="C52">
        <v>90</v>
      </c>
      <c r="D52">
        <v>300</v>
      </c>
      <c r="E52" t="s">
        <v>112</v>
      </c>
      <c r="F52">
        <v>0</v>
      </c>
      <c r="G52">
        <v>-1557.5</v>
      </c>
      <c r="H52">
        <v>3984.7</v>
      </c>
      <c r="I52">
        <v>-3940.24</v>
      </c>
      <c r="J52">
        <v>1649.67</v>
      </c>
      <c r="K52">
        <v>12.801</v>
      </c>
      <c r="L52">
        <v>-294.262</v>
      </c>
      <c r="M52">
        <v>119.59</v>
      </c>
      <c r="N52">
        <v>-20.630099999999999</v>
      </c>
      <c r="O52">
        <v>1.36067</v>
      </c>
      <c r="P52">
        <v>0</v>
      </c>
      <c r="Q52">
        <v>0</v>
      </c>
      <c r="R52">
        <v>0</v>
      </c>
      <c r="S52">
        <v>0</v>
      </c>
    </row>
    <row r="53" spans="1:19">
      <c r="A53" t="s">
        <v>80</v>
      </c>
      <c r="B53" t="s">
        <v>38</v>
      </c>
      <c r="C53">
        <v>33</v>
      </c>
      <c r="D53">
        <v>300</v>
      </c>
      <c r="E53" t="s">
        <v>112</v>
      </c>
      <c r="F53">
        <v>0</v>
      </c>
      <c r="G53">
        <v>-1145.45</v>
      </c>
      <c r="H53">
        <v>4086.02</v>
      </c>
      <c r="I53">
        <v>-6234.29</v>
      </c>
      <c r="J53">
        <v>5260.11</v>
      </c>
      <c r="K53">
        <v>-2649.91</v>
      </c>
      <c r="L53">
        <v>797.03700000000003</v>
      </c>
      <c r="M53">
        <v>-132.524</v>
      </c>
      <c r="N53">
        <v>9.3968000000000007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>
      <c r="A54" t="s">
        <v>81</v>
      </c>
      <c r="B54" t="s">
        <v>38</v>
      </c>
      <c r="C54">
        <v>7</v>
      </c>
      <c r="D54">
        <v>300</v>
      </c>
      <c r="E54" t="s">
        <v>112</v>
      </c>
      <c r="F54">
        <v>0</v>
      </c>
      <c r="G54">
        <v>0</v>
      </c>
      <c r="H54">
        <v>-0.14127999999999999</v>
      </c>
      <c r="I54">
        <v>1.4174</v>
      </c>
      <c r="J54">
        <v>-5.8209999999999997</v>
      </c>
      <c r="K54">
        <v>12.722</v>
      </c>
      <c r="L54">
        <v>-15.968999999999999</v>
      </c>
      <c r="M54">
        <v>11.643000000000001</v>
      </c>
      <c r="N54">
        <v>-4.6448999999999998</v>
      </c>
      <c r="O54">
        <v>-1.5194000000000001</v>
      </c>
      <c r="P54">
        <v>0</v>
      </c>
      <c r="Q54">
        <v>0</v>
      </c>
      <c r="R54">
        <v>0</v>
      </c>
      <c r="S54">
        <v>0</v>
      </c>
    </row>
    <row r="55" spans="1:19">
      <c r="A55" t="s">
        <v>82</v>
      </c>
      <c r="B55" t="s">
        <v>38</v>
      </c>
      <c r="C55">
        <v>4</v>
      </c>
      <c r="D55">
        <v>300</v>
      </c>
      <c r="E55" t="s">
        <v>135</v>
      </c>
      <c r="F55">
        <v>0</v>
      </c>
      <c r="G55">
        <v>7.3958199999999996</v>
      </c>
      <c r="H55">
        <v>-59.673699999999997</v>
      </c>
      <c r="I55">
        <v>160.58000000000001</v>
      </c>
      <c r="J55">
        <v>-240.33</v>
      </c>
      <c r="K55">
        <v>218.81700000000001</v>
      </c>
      <c r="L55">
        <v>-124.155</v>
      </c>
      <c r="M55">
        <v>42.908799999999999</v>
      </c>
      <c r="N55">
        <v>-8.2668300000000006</v>
      </c>
      <c r="O55">
        <v>0.68081999999999998</v>
      </c>
      <c r="P55">
        <v>0</v>
      </c>
      <c r="Q55">
        <v>0</v>
      </c>
      <c r="R55">
        <v>0</v>
      </c>
      <c r="S55">
        <v>0</v>
      </c>
    </row>
    <row r="56" spans="1:19">
      <c r="A56" t="s">
        <v>83</v>
      </c>
      <c r="B56" t="s">
        <v>38</v>
      </c>
      <c r="C56">
        <v>76</v>
      </c>
      <c r="D56">
        <v>300</v>
      </c>
      <c r="E56" t="s">
        <v>112</v>
      </c>
      <c r="F56">
        <v>0</v>
      </c>
      <c r="G56">
        <v>-3218.68</v>
      </c>
      <c r="H56">
        <v>9201.61</v>
      </c>
      <c r="I56">
        <v>-10956.7</v>
      </c>
      <c r="J56">
        <v>6950.1</v>
      </c>
      <c r="K56">
        <v>-2476.94</v>
      </c>
      <c r="L56">
        <v>470.28399999999999</v>
      </c>
      <c r="M56">
        <v>-37.166899999999998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t="s">
        <v>84</v>
      </c>
      <c r="B57" t="s">
        <v>38</v>
      </c>
      <c r="C57">
        <v>100</v>
      </c>
      <c r="D57">
        <v>300</v>
      </c>
      <c r="E57" t="s">
        <v>113</v>
      </c>
      <c r="F57">
        <v>0</v>
      </c>
      <c r="G57">
        <v>3788.43</v>
      </c>
      <c r="H57">
        <v>-7642.66</v>
      </c>
      <c r="I57">
        <v>4592.45</v>
      </c>
      <c r="J57">
        <v>778.84199999999998</v>
      </c>
      <c r="K57">
        <v>-2214.4299999999998</v>
      </c>
      <c r="L57">
        <v>1090.29</v>
      </c>
      <c r="M57">
        <v>-235.63499999999999</v>
      </c>
      <c r="N57">
        <v>19.660900000000002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t="s">
        <v>85</v>
      </c>
      <c r="B58" t="s">
        <v>38</v>
      </c>
      <c r="C58">
        <v>30</v>
      </c>
      <c r="D58">
        <v>300</v>
      </c>
      <c r="E58" t="s">
        <v>113</v>
      </c>
      <c r="F58">
        <v>0</v>
      </c>
      <c r="G58">
        <v>-33.898000000000003</v>
      </c>
      <c r="H58">
        <v>117.81</v>
      </c>
      <c r="I58">
        <v>-178.376</v>
      </c>
      <c r="J58">
        <v>142.03800000000001</v>
      </c>
      <c r="K58">
        <v>-63.033999999999999</v>
      </c>
      <c r="L58">
        <v>14.958</v>
      </c>
      <c r="M58">
        <v>-1.5468</v>
      </c>
      <c r="N58">
        <v>2.0625000000000001E-2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>
      <c r="A59" t="s">
        <v>86</v>
      </c>
      <c r="B59" t="s">
        <v>38</v>
      </c>
      <c r="C59">
        <v>88</v>
      </c>
      <c r="D59">
        <v>300</v>
      </c>
      <c r="E59" t="s">
        <v>112</v>
      </c>
      <c r="F59">
        <v>0</v>
      </c>
      <c r="G59">
        <v>789.79</v>
      </c>
      <c r="H59">
        <v>-2347.94</v>
      </c>
      <c r="I59">
        <v>3024.61</v>
      </c>
      <c r="J59">
        <v>-2206.7600000000002</v>
      </c>
      <c r="K59">
        <v>989.23800000000006</v>
      </c>
      <c r="L59">
        <v>-273.18</v>
      </c>
      <c r="M59">
        <v>43.064999999999998</v>
      </c>
      <c r="N59">
        <v>-2.9863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>
      <c r="A60" t="s">
        <v>87</v>
      </c>
      <c r="B60" t="s">
        <v>38</v>
      </c>
      <c r="C60">
        <v>100</v>
      </c>
      <c r="D60">
        <v>300</v>
      </c>
      <c r="E60" t="s">
        <v>115</v>
      </c>
      <c r="F60">
        <v>0</v>
      </c>
      <c r="G60">
        <v>11314.6</v>
      </c>
      <c r="H60">
        <v>-30824.3</v>
      </c>
      <c r="I60">
        <v>34964.199999999997</v>
      </c>
      <c r="J60">
        <v>-21141.4</v>
      </c>
      <c r="K60">
        <v>7187.43</v>
      </c>
      <c r="L60">
        <v>-1302.71</v>
      </c>
      <c r="M60">
        <v>98.352500000000006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t="s">
        <v>88</v>
      </c>
      <c r="B61" t="s">
        <v>38</v>
      </c>
      <c r="C61">
        <v>125</v>
      </c>
      <c r="D61">
        <v>300</v>
      </c>
      <c r="E61" t="s">
        <v>112</v>
      </c>
      <c r="F61">
        <v>0</v>
      </c>
      <c r="G61">
        <v>-4123.51</v>
      </c>
      <c r="H61">
        <v>9690.59</v>
      </c>
      <c r="I61">
        <v>-7920.09</v>
      </c>
      <c r="J61">
        <v>1572.9</v>
      </c>
      <c r="K61">
        <v>1459.99</v>
      </c>
      <c r="L61">
        <v>-1028.33</v>
      </c>
      <c r="M61">
        <v>255.773</v>
      </c>
      <c r="N61">
        <v>-23.319299999999998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>
      <c r="A62" t="s">
        <v>89</v>
      </c>
      <c r="B62" t="s">
        <v>32</v>
      </c>
      <c r="C62">
        <v>4.4999999999999998E-2</v>
      </c>
      <c r="D62">
        <v>1672</v>
      </c>
      <c r="E62" t="s">
        <v>138</v>
      </c>
      <c r="F62">
        <v>119.471</v>
      </c>
      <c r="G62">
        <v>5.8948E-2</v>
      </c>
      <c r="H62">
        <v>3.84607E-3</v>
      </c>
      <c r="I62">
        <v>-6.6683899999999994E-5</v>
      </c>
      <c r="J62">
        <v>3.1315799999999998E-7</v>
      </c>
      <c r="K62">
        <v>0</v>
      </c>
      <c r="L62">
        <v>0</v>
      </c>
      <c r="M62">
        <v>0</v>
      </c>
      <c r="N62">
        <v>0</v>
      </c>
      <c r="O62">
        <v>0</v>
      </c>
      <c r="P62">
        <v>-1.56968</v>
      </c>
      <c r="Q62">
        <v>2.8241299999999998</v>
      </c>
      <c r="R62">
        <v>-1.09799</v>
      </c>
      <c r="S62">
        <v>0.16169500000000001</v>
      </c>
    </row>
    <row r="63" spans="1:19">
      <c r="A63" t="s">
        <v>33</v>
      </c>
      <c r="B63" t="s">
        <v>32</v>
      </c>
      <c r="C63">
        <v>0.38500000000000001</v>
      </c>
      <c r="D63">
        <v>1672</v>
      </c>
      <c r="E63" t="s">
        <v>139</v>
      </c>
      <c r="F63">
        <v>119.786</v>
      </c>
      <c r="G63">
        <v>6.9650199999999995E-2</v>
      </c>
      <c r="H63">
        <v>3.0138600000000001E-3</v>
      </c>
      <c r="I63">
        <v>-5.0429600000000002E-5</v>
      </c>
      <c r="J63">
        <v>2.2336699999999999E-7</v>
      </c>
      <c r="K63">
        <v>0</v>
      </c>
      <c r="L63">
        <v>0</v>
      </c>
      <c r="M63">
        <v>0</v>
      </c>
      <c r="N63">
        <v>0</v>
      </c>
      <c r="O63">
        <v>0</v>
      </c>
      <c r="P63">
        <v>0.14921300000000001</v>
      </c>
      <c r="Q63">
        <v>0.62353599999999998</v>
      </c>
      <c r="R63">
        <v>-0.17113200000000001</v>
      </c>
      <c r="S63">
        <v>3.4208099999999998E-2</v>
      </c>
    </row>
    <row r="64" spans="1:19">
      <c r="A64" t="s">
        <v>90</v>
      </c>
      <c r="B64" t="s">
        <v>38</v>
      </c>
      <c r="C64">
        <v>4</v>
      </c>
      <c r="D64">
        <v>300</v>
      </c>
      <c r="E64" t="s">
        <v>112</v>
      </c>
      <c r="F64">
        <v>0</v>
      </c>
      <c r="G64">
        <v>-1.4087000000000001</v>
      </c>
      <c r="H64">
        <v>1.3982000000000001</v>
      </c>
      <c r="I64">
        <v>0.25430000000000003</v>
      </c>
      <c r="J64">
        <v>-0.626</v>
      </c>
      <c r="K64">
        <v>0.2334</v>
      </c>
      <c r="L64">
        <v>0.42559999999999998</v>
      </c>
      <c r="M64">
        <v>-0.46579999999999999</v>
      </c>
      <c r="N64">
        <v>0.16500000000000001</v>
      </c>
      <c r="O64">
        <v>-1.9900000000000001E-2</v>
      </c>
      <c r="P64">
        <v>0</v>
      </c>
      <c r="Q64">
        <v>0</v>
      </c>
      <c r="R64">
        <v>0</v>
      </c>
      <c r="S64">
        <v>0</v>
      </c>
    </row>
    <row r="65" spans="1:19">
      <c r="A65" t="s">
        <v>91</v>
      </c>
      <c r="B65" t="s">
        <v>100</v>
      </c>
      <c r="C65">
        <v>0.374</v>
      </c>
      <c r="D65">
        <v>1.67</v>
      </c>
      <c r="E65" t="s">
        <v>140</v>
      </c>
      <c r="F65">
        <v>-4.4448500000000002E-3</v>
      </c>
      <c r="G65">
        <v>0.20047100000000001</v>
      </c>
      <c r="H65">
        <v>-0.166211</v>
      </c>
      <c r="I65">
        <v>4.5059399999999999E-2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>
      <c r="A66" t="s">
        <v>92</v>
      </c>
      <c r="B66" t="s">
        <v>38</v>
      </c>
      <c r="C66">
        <v>148.15</v>
      </c>
      <c r="D66">
        <v>1273.1500000000001</v>
      </c>
      <c r="E66" t="s">
        <v>141</v>
      </c>
      <c r="F66">
        <v>0.12534600000000001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0.64670799999999995</v>
      </c>
      <c r="Q66">
        <v>-0.22143199999999999</v>
      </c>
      <c r="R66">
        <v>4.8150600000000002E-2</v>
      </c>
      <c r="S66">
        <v>0</v>
      </c>
    </row>
    <row r="67" spans="1:19">
      <c r="A67" t="s">
        <v>142</v>
      </c>
      <c r="B67" t="s">
        <v>100</v>
      </c>
      <c r="C67">
        <v>4.4999999999999998E-2</v>
      </c>
      <c r="D67">
        <v>57.052</v>
      </c>
      <c r="E67" t="s">
        <v>143</v>
      </c>
      <c r="F67">
        <v>4.8098799999999997E-2</v>
      </c>
      <c r="G67">
        <v>6.6918400000000001E-3</v>
      </c>
      <c r="H67">
        <v>-2.0527800000000001E-4</v>
      </c>
      <c r="I67">
        <v>1.9410900000000001E-6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>
      <c r="A68" t="s">
        <v>144</v>
      </c>
      <c r="B68" t="s">
        <v>38</v>
      </c>
      <c r="C68">
        <v>137.77699999999999</v>
      </c>
      <c r="D68">
        <v>1670.15</v>
      </c>
      <c r="E68" t="s">
        <v>145</v>
      </c>
      <c r="F68">
        <v>-0.97872400000000004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1.9790399999999999</v>
      </c>
      <c r="Q68">
        <v>-0.72620499999999999</v>
      </c>
      <c r="R68">
        <v>0.10989599999999999</v>
      </c>
      <c r="S68">
        <v>0</v>
      </c>
    </row>
    <row r="69" spans="1:19">
      <c r="A69" t="s">
        <v>146</v>
      </c>
      <c r="B69" t="s">
        <v>32</v>
      </c>
      <c r="C69">
        <v>0.39300000000000002</v>
      </c>
      <c r="D69">
        <v>1623.194</v>
      </c>
      <c r="E69" t="s">
        <v>147</v>
      </c>
      <c r="F69">
        <v>116.307</v>
      </c>
      <c r="G69">
        <v>6.0495599999999997E-2</v>
      </c>
      <c r="H69">
        <v>3.5604600000000001E-3</v>
      </c>
      <c r="I69">
        <v>-5.9751499999999999E-5</v>
      </c>
      <c r="J69">
        <v>2.7201099999999999E-7</v>
      </c>
      <c r="K69">
        <v>0</v>
      </c>
      <c r="L69">
        <v>0</v>
      </c>
      <c r="M69">
        <v>0</v>
      </c>
      <c r="N69">
        <v>0</v>
      </c>
      <c r="O69">
        <v>0</v>
      </c>
      <c r="P69">
        <v>-1.2478499999999999</v>
      </c>
      <c r="Q69">
        <v>2.17727</v>
      </c>
      <c r="R69">
        <v>-0.74136599999999997</v>
      </c>
      <c r="S69">
        <v>0.103982</v>
      </c>
    </row>
    <row r="70" spans="1:19">
      <c r="A70" t="s">
        <v>28</v>
      </c>
      <c r="B70" t="s">
        <v>38</v>
      </c>
      <c r="C70">
        <v>4</v>
      </c>
      <c r="D70">
        <v>300</v>
      </c>
      <c r="E70" t="s">
        <v>126</v>
      </c>
      <c r="F70">
        <v>0</v>
      </c>
      <c r="G70">
        <v>2.738</v>
      </c>
      <c r="H70">
        <v>-30.677</v>
      </c>
      <c r="I70">
        <v>89.43</v>
      </c>
      <c r="J70">
        <v>-136.99</v>
      </c>
      <c r="K70">
        <v>124.69</v>
      </c>
      <c r="L70">
        <v>-69.555999999999997</v>
      </c>
      <c r="M70">
        <v>23.32</v>
      </c>
      <c r="N70">
        <v>-4.3135000000000003</v>
      </c>
      <c r="O70">
        <v>0.33828999999999998</v>
      </c>
      <c r="P70">
        <v>0</v>
      </c>
      <c r="Q70">
        <v>0</v>
      </c>
      <c r="R70">
        <v>0</v>
      </c>
      <c r="S70">
        <v>0</v>
      </c>
    </row>
    <row r="71" spans="1:19">
      <c r="A71" t="s">
        <v>93</v>
      </c>
      <c r="B71" t="s">
        <v>38</v>
      </c>
      <c r="C71">
        <v>6.0999999999999999E-2</v>
      </c>
      <c r="D71">
        <v>1173.1500000000001</v>
      </c>
      <c r="E71" t="s">
        <v>148</v>
      </c>
      <c r="F71">
        <v>-1.41506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1.72407</v>
      </c>
      <c r="Q71">
        <v>-0.43785499999999999</v>
      </c>
      <c r="R71">
        <v>4.8406200000000003E-2</v>
      </c>
      <c r="S71">
        <v>0</v>
      </c>
    </row>
    <row r="72" spans="1:19">
      <c r="A72" t="s">
        <v>94</v>
      </c>
      <c r="B72" t="s">
        <v>38</v>
      </c>
      <c r="C72">
        <v>1.4</v>
      </c>
      <c r="D72">
        <v>300</v>
      </c>
      <c r="E72" t="s">
        <v>135</v>
      </c>
      <c r="F72">
        <v>0</v>
      </c>
      <c r="G72">
        <v>-2.39879</v>
      </c>
      <c r="H72">
        <v>8.9707399999999993</v>
      </c>
      <c r="I72">
        <v>-29.192900000000002</v>
      </c>
      <c r="J72">
        <v>54.871400000000001</v>
      </c>
      <c r="K72">
        <v>-59.671399999999998</v>
      </c>
      <c r="L72">
        <v>38.8932</v>
      </c>
      <c r="M72">
        <v>-14.941800000000001</v>
      </c>
      <c r="N72">
        <v>3.1116199999999998</v>
      </c>
      <c r="O72">
        <v>-0.270453</v>
      </c>
      <c r="P72">
        <v>0</v>
      </c>
      <c r="Q72">
        <v>0</v>
      </c>
      <c r="R72">
        <v>0</v>
      </c>
      <c r="S72">
        <v>0</v>
      </c>
    </row>
    <row r="73" spans="1:19">
      <c r="A73" t="s">
        <v>29</v>
      </c>
      <c r="B73" t="s">
        <v>100</v>
      </c>
      <c r="C73">
        <v>0.30299999999999999</v>
      </c>
      <c r="D73">
        <v>2.9769999999999999</v>
      </c>
      <c r="E73" t="s">
        <v>149</v>
      </c>
      <c r="F73">
        <v>0</v>
      </c>
      <c r="G73">
        <v>-7.5278599999999997E-4</v>
      </c>
      <c r="H73">
        <v>1.52769E-2</v>
      </c>
      <c r="I73">
        <v>-8.1721499999999996E-3</v>
      </c>
      <c r="J73">
        <v>1.34033E-3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>
      <c r="A74" t="s">
        <v>30</v>
      </c>
      <c r="B74" t="s">
        <v>100</v>
      </c>
      <c r="C74">
        <v>0.32200000000000001</v>
      </c>
      <c r="D74">
        <v>3.032</v>
      </c>
      <c r="E74" t="s">
        <v>150</v>
      </c>
      <c r="F74">
        <v>0</v>
      </c>
      <c r="G74">
        <v>2.5303199999999999E-4</v>
      </c>
      <c r="H74">
        <v>3.15702E-3</v>
      </c>
      <c r="I74">
        <v>-1.8072299999999999E-3</v>
      </c>
      <c r="J74">
        <v>3.4050900000000002E-4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>
      <c r="A75" t="s">
        <v>95</v>
      </c>
      <c r="B75" t="s">
        <v>38</v>
      </c>
      <c r="C75">
        <v>88</v>
      </c>
      <c r="D75">
        <v>300</v>
      </c>
      <c r="E75" t="s">
        <v>135</v>
      </c>
      <c r="F75">
        <v>0</v>
      </c>
      <c r="G75">
        <v>4815.3999999999996</v>
      </c>
      <c r="H75">
        <v>-12969.6</v>
      </c>
      <c r="I75">
        <v>14520.8</v>
      </c>
      <c r="J75">
        <v>-8654.16</v>
      </c>
      <c r="K75">
        <v>2895.71</v>
      </c>
      <c r="L75">
        <v>-515.72699999999998</v>
      </c>
      <c r="M75">
        <v>38.1922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>
      <c r="A76" t="s">
        <v>96</v>
      </c>
      <c r="B76" t="s">
        <v>38</v>
      </c>
      <c r="C76">
        <v>88</v>
      </c>
      <c r="D76">
        <v>300</v>
      </c>
      <c r="E76" t="s">
        <v>115</v>
      </c>
      <c r="F76">
        <v>0</v>
      </c>
      <c r="G76">
        <v>4172.45</v>
      </c>
      <c r="H76">
        <v>-11310</v>
      </c>
      <c r="I76">
        <v>12745.1</v>
      </c>
      <c r="J76">
        <v>-7647.58</v>
      </c>
      <c r="K76">
        <v>2577.31</v>
      </c>
      <c r="L76">
        <v>-462.53800000000001</v>
      </c>
      <c r="M76">
        <v>34.5351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>
      <c r="A77" t="s">
        <v>97</v>
      </c>
      <c r="B77" t="s">
        <v>38</v>
      </c>
      <c r="C77">
        <v>92</v>
      </c>
      <c r="D77">
        <v>300</v>
      </c>
      <c r="E77" t="s">
        <v>115</v>
      </c>
      <c r="F77">
        <v>0</v>
      </c>
      <c r="G77">
        <v>1035.33</v>
      </c>
      <c r="H77">
        <v>-2191.85</v>
      </c>
      <c r="I77">
        <v>1470.51</v>
      </c>
      <c r="J77">
        <v>39.844999999999999</v>
      </c>
      <c r="K77">
        <v>-541.904</v>
      </c>
      <c r="L77">
        <v>289.84399999999999</v>
      </c>
      <c r="M77">
        <v>-65.225300000000004</v>
      </c>
      <c r="N77">
        <v>5.5995600000000003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>
      <c r="A78" t="s">
        <v>98</v>
      </c>
      <c r="B78" t="s">
        <v>38</v>
      </c>
      <c r="C78">
        <v>92</v>
      </c>
      <c r="D78">
        <v>300</v>
      </c>
      <c r="E78" t="s">
        <v>113</v>
      </c>
      <c r="F78">
        <v>0</v>
      </c>
      <c r="G78">
        <v>-1375.11</v>
      </c>
      <c r="H78">
        <v>3740.69</v>
      </c>
      <c r="I78">
        <v>-4238.47</v>
      </c>
      <c r="J78">
        <v>2559.33</v>
      </c>
      <c r="K78">
        <v>-868.60699999999997</v>
      </c>
      <c r="L78">
        <v>157.102</v>
      </c>
      <c r="M78">
        <v>-11.829599999999999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>
      <c r="A79" t="s">
        <v>99</v>
      </c>
      <c r="B79" t="s">
        <v>31</v>
      </c>
      <c r="C79">
        <v>3.4000000000000002E-2</v>
      </c>
      <c r="D79">
        <v>1000</v>
      </c>
      <c r="E79" t="s">
        <v>36</v>
      </c>
      <c r="F79">
        <v>0</v>
      </c>
      <c r="G79">
        <v>9.2999999999999992E-3</v>
      </c>
      <c r="H79">
        <v>2.7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D6941-95E7-44DC-BAB7-8F75A8B9C1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Sample Thermal Model</vt:lpstr>
      <vt:lpstr>Conductivity Test Sheet</vt:lpstr>
      <vt:lpstr>ConductivityParameters</vt:lpstr>
      <vt:lpstr>C_SB</vt:lpstr>
      <vt:lpstr>T_MC</vt:lpstr>
      <vt:lpstr>T_PTC1</vt:lpstr>
      <vt:lpstr>T_PTC2</vt:lpstr>
      <vt:lpstr>T_Room</vt:lpstr>
      <vt:lpstr>T_Still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Nachman, Henry E</cp:lastModifiedBy>
  <dcterms:created xsi:type="dcterms:W3CDTF">2024-03-27T18:46:17Z</dcterms:created>
  <dcterms:modified xsi:type="dcterms:W3CDTF">2024-07-22T22:28:17Z</dcterms:modified>
</cp:coreProperties>
</file>