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texas-my.sharepoint.com/personal/hen367_my_utexas_edu/Documents/01_RESEARCH/05_CMBS4/Cryogenic_Material_Properties/analysis_tools/Excel Thermal Models/"/>
    </mc:Choice>
  </mc:AlternateContent>
  <xr:revisionPtr revIDLastSave="0" documentId="8_{F89E669A-7C57-4324-92BD-AC75CEEABEB5}" xr6:coauthVersionLast="47" xr6:coauthVersionMax="47" xr10:uidLastSave="{00000000-0000-0000-0000-000000000000}"/>
  <bookViews>
    <workbookView xWindow="-108" yWindow="-108" windowWidth="23256" windowHeight="12456" xr2:uid="{D1996491-F8EF-4211-958F-AD8973F3D706}"/>
  </bookViews>
  <sheets>
    <sheet name="Sample Thermal Model" sheetId="1" r:id="rId1"/>
    <sheet name="ConductivityParameter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" l="1"/>
  <c r="C17" i="1"/>
</calcChain>
</file>

<file path=xl/sharedStrings.xml><?xml version="1.0" encoding="utf-8"?>
<sst xmlns="http://schemas.openxmlformats.org/spreadsheetml/2006/main" count="135" uniqueCount="87">
  <si>
    <t>Barebones Thermal Model Example</t>
  </si>
  <si>
    <t>Between Room Temperature and Stage 1</t>
  </si>
  <si>
    <t>Room Temperature</t>
  </si>
  <si>
    <t>Stage 1 Temperature</t>
  </si>
  <si>
    <t>Material</t>
  </si>
  <si>
    <t>OD</t>
  </si>
  <si>
    <t>Thickness</t>
  </si>
  <si>
    <t>Length</t>
  </si>
  <si>
    <t>SS316</t>
  </si>
  <si>
    <t>A</t>
  </si>
  <si>
    <t>Support Cylinder</t>
  </si>
  <si>
    <t>A/L for legs</t>
  </si>
  <si>
    <t xml:space="preserve">ConInt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</si>
  <si>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</si>
  <si>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</si>
  <si>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</si>
  <si>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</si>
  <si>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</si>
  <si>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</si>
  <si>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</si>
  <si>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</si>
  <si>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</si>
  <si>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Material Name</t>
  </si>
  <si>
    <t>Fit Type</t>
  </si>
  <si>
    <t>Low Temp</t>
  </si>
  <si>
    <t>High Temp</t>
  </si>
  <si>
    <t>Perc Err</t>
  </si>
  <si>
    <t>B</t>
  </si>
  <si>
    <t>C</t>
  </si>
  <si>
    <t>D</t>
  </si>
  <si>
    <t>1100_20Aluminum</t>
  </si>
  <si>
    <t>NIST-1</t>
  </si>
  <si>
    <t>3003FAluminum</t>
  </si>
  <si>
    <t>5083Aluminum</t>
  </si>
  <si>
    <t>6061_T6Aluminum</t>
  </si>
  <si>
    <t>6063_T5Aluminum</t>
  </si>
  <si>
    <t>Aluminum</t>
  </si>
  <si>
    <t>loglog</t>
  </si>
  <si>
    <t>Aluminum1</t>
  </si>
  <si>
    <t>Balsa</t>
  </si>
  <si>
    <t>beechwood</t>
  </si>
  <si>
    <t>BerylliumCopper</t>
  </si>
  <si>
    <t>Brass</t>
  </si>
  <si>
    <t>CFRP</t>
  </si>
  <si>
    <t>Clearwater</t>
  </si>
  <si>
    <t>DPP</t>
  </si>
  <si>
    <t>Fiberglass</t>
  </si>
  <si>
    <t>G10CRFiberglassEpoxy</t>
  </si>
  <si>
    <t>GlassFabric_Polyester</t>
  </si>
  <si>
    <t>Graphlite</t>
  </si>
  <si>
    <t>Inconel718</t>
  </si>
  <si>
    <t>Invar</t>
  </si>
  <si>
    <t>Ketron</t>
  </si>
  <si>
    <t>kevlarcomposite</t>
  </si>
  <si>
    <t>??</t>
  </si>
  <si>
    <t>kevlarfiber</t>
  </si>
  <si>
    <t>Lead</t>
  </si>
  <si>
    <t>Macor</t>
  </si>
  <si>
    <t>Molybdenum</t>
  </si>
  <si>
    <t>NickelSteel_Fe2.25Ni</t>
  </si>
  <si>
    <t>NickelSteel_Fe3.25Ni</t>
  </si>
  <si>
    <t>NickelSteel_Fe5.0Ni</t>
  </si>
  <si>
    <t>NickelSteel_Fe9.0Ni</t>
  </si>
  <si>
    <t>PET</t>
  </si>
  <si>
    <t>Platinum</t>
  </si>
  <si>
    <t>PlyamideNylon</t>
  </si>
  <si>
    <t>PolyimideKapton</t>
  </si>
  <si>
    <t>polystyrene</t>
  </si>
  <si>
    <t>polyurethane</t>
  </si>
  <si>
    <t>PVC</t>
  </si>
  <si>
    <t>SS304</t>
  </si>
  <si>
    <t>SS304L</t>
  </si>
  <si>
    <t>SS310_lo</t>
  </si>
  <si>
    <t>3 order k/T</t>
  </si>
  <si>
    <t>SS310_hi</t>
  </si>
  <si>
    <t>3 order loglog</t>
  </si>
  <si>
    <t>SS321</t>
  </si>
  <si>
    <t>Steel</t>
  </si>
  <si>
    <t>Teflon</t>
  </si>
  <si>
    <t>Ti6Al4V_lo</t>
  </si>
  <si>
    <t>Ti6Al4V_hi</t>
  </si>
  <si>
    <t>Titanium</t>
  </si>
  <si>
    <t>Torlon</t>
  </si>
  <si>
    <t>VESPEL</t>
  </si>
  <si>
    <t>Wood</t>
  </si>
  <si>
    <t>powerlaw</t>
  </si>
  <si>
    <t>Erf 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</si>
</sst>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\ &quot;in&quot;"/>
    <numFmt numFmtId="165" formatCode="General\ &quot;K&quot;"/>
  </numFmts>
  <fonts count="2" x14ac:knownFonts="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65" fontId="1" fillId="0" borderId="0" xfId="0" applyNumberFormat="1" applyFont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F132-FC07-44CB-A802-43AEED96AED7}">
  <sheetPr codeName="Sheet1"/>
  <dimension ref="A1:D17"/>
  <sheetViews>
    <sheetView tabSelected="1" workbookViewId="0">
      <selection activeCell="G15" sqref="G15"/>
    </sheetView>
  </sheetViews>
  <sheetFormatPr defaultColWidth="8.88671875" defaultRowHeight="14.4" x14ac:dyDescent="0.3"/>
  <cols>
    <col min="1" max="1" width="12.33203125" style="1" customWidth="1"/>
    <col min="2" max="2" width="12" style="1" bestFit="1" customWidth="1"/>
    <col min="3" max="3" width="14.88671875" style="1" customWidth="1"/>
    <col min="4" max="16384" width="8.88671875" style="1"/>
  </cols>
  <sheetData>
    <row r="1" spans="1:4" x14ac:dyDescent="0.3">
      <c r="A1" s="7" t="s">
        <v>0</v>
      </c>
      <c r="B1" s="7"/>
      <c r="C1" s="7"/>
      <c r="D1" s="7"/>
    </row>
    <row r="4" spans="1:4" x14ac:dyDescent="0.3">
      <c r="A4" s="7" t="s">
        <v>1</v>
      </c>
      <c r="B4" s="7"/>
      <c r="C4" s="7"/>
      <c r="D4" s="7"/>
    </row>
    <row r="5" spans="1:4" x14ac:dyDescent="0.3">
      <c r="A5" s="4" t="s">
        <v>2</v>
      </c>
      <c r="B5" s="5">
        <v>260</v>
      </c>
    </row>
    <row r="6" spans="1:4" x14ac:dyDescent="0.3">
      <c r="A6" s="4" t="s">
        <v>3</v>
      </c>
      <c r="B6" s="5">
        <v>169.2</v>
      </c>
    </row>
    <row r="8" spans="1:4" x14ac:dyDescent="0.3">
      <c r="A8" s="7" t="s">
        <v>10</v>
      </c>
      <c r="B8" s="7"/>
      <c r="C8" s="7"/>
    </row>
    <row r="9" spans="1:4" x14ac:dyDescent="0.3">
      <c r="A9" s="1" t="s">
        <v>4</v>
      </c>
      <c r="B9" s="2" t="s">
        <v>70</v>
      </c>
    </row>
    <row r="10" spans="1:4" x14ac:dyDescent="0.3">
      <c r="A10" s="1" t="s">
        <v>5</v>
      </c>
      <c r="B10" s="3">
        <v>35.625</v>
      </c>
    </row>
    <row r="11" spans="1:4" x14ac:dyDescent="0.3">
      <c r="A11" s="1" t="s">
        <v>6</v>
      </c>
      <c r="B11" s="3">
        <v>6.25E-2</v>
      </c>
    </row>
    <row r="12" spans="1:4" x14ac:dyDescent="0.3">
      <c r="A12" s="1" t="s">
        <v>7</v>
      </c>
      <c r="B12" s="3">
        <v>29</v>
      </c>
    </row>
    <row r="13" spans="1:4" x14ac:dyDescent="0.3">
      <c r="B13" s="3"/>
    </row>
    <row r="14" spans="1:4" x14ac:dyDescent="0.3">
      <c r="A14" s="1" t="s">
        <v>11</v>
      </c>
      <c r="B14" s="3">
        <v>0.24079999999999999</v>
      </c>
    </row>
    <row r="15" spans="1:4" x14ac:dyDescent="0.3">
      <c r="B15" s="2"/>
    </row>
    <row r="16" spans="1:4" x14ac:dyDescent="0.3">
      <c r="B16" s="2"/>
    </row>
    <row r="17" spans="1:3" x14ac:dyDescent="0.3">
      <c r="A17" s="1" t="s">
        <v>12</v>
      </c>
      <c r="B17" s="2">
        <f>ConInt(B9,B5,B6)</f>
        <v>1175.2090433333572</v>
      </c>
      <c r="C17" s="1">
        <f>Conductivity(B9,B5)</f>
        <v>13.765012720563208</v>
      </c>
    </row>
  </sheetData>
  <mergeCells count="3">
    <mergeCell ref="A8:C8"/>
    <mergeCell ref="A4:D4"/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5AE1C-0060-422C-A84F-25315FB7C487}">
  <sheetPr codeName="Sheet2"/>
  <dimension ref="A1:S52"/>
  <sheetViews>
    <sheetView topLeftCell="N1" zoomScale="85" zoomScaleNormal="85" workbookViewId="0">
      <selection activeCell="S39" sqref="S39"/>
    </sheetView>
  </sheetViews>
  <sheetFormatPr defaultRowHeight="14.4" x14ac:dyDescent="0.3"/>
  <cols>
    <col min="1" max="19" width="14.6640625" customWidth="1"/>
  </cols>
  <sheetData>
    <row r="1" spans="1:19" ht="27.6" customHeight="1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86</v>
      </c>
      <c r="P1" t="s">
        <v>9</v>
      </c>
      <c r="Q1" t="s">
        <v>27</v>
      </c>
      <c r="R1" t="s">
        <v>28</v>
      </c>
      <c r="S1" t="s">
        <v>29</v>
      </c>
    </row>
    <row r="2" spans="1:19" x14ac:dyDescent="0.3">
      <c r="A2" t="s">
        <v>30</v>
      </c>
      <c r="B2" t="s">
        <v>31</v>
      </c>
      <c r="C2">
        <v>4</v>
      </c>
      <c r="D2">
        <v>300</v>
      </c>
      <c r="E2">
        <v>2</v>
      </c>
      <c r="F2" s="6">
        <v>23.3917</v>
      </c>
      <c r="G2" s="6">
        <v>-148.57300000000001</v>
      </c>
      <c r="H2" s="6">
        <v>422.19200000000001</v>
      </c>
      <c r="I2" s="6">
        <v>-653.66600000000005</v>
      </c>
      <c r="J2" s="6">
        <v>607.04</v>
      </c>
      <c r="K2" s="6">
        <v>-346.15199999999999</v>
      </c>
      <c r="L2" s="6">
        <v>118.428</v>
      </c>
      <c r="M2" s="6">
        <v>-22.278099999999998</v>
      </c>
      <c r="N2" s="6">
        <v>1.7701899999999999</v>
      </c>
      <c r="O2" s="6">
        <v>0</v>
      </c>
      <c r="P2" s="6">
        <v>0</v>
      </c>
      <c r="Q2" s="6">
        <v>0</v>
      </c>
      <c r="R2" s="6">
        <v>0</v>
      </c>
      <c r="S2" s="6">
        <v>0</v>
      </c>
    </row>
    <row r="3" spans="1:19" x14ac:dyDescent="0.3">
      <c r="A3" t="s">
        <v>32</v>
      </c>
      <c r="B3" t="s">
        <v>31</v>
      </c>
      <c r="C3">
        <v>4</v>
      </c>
      <c r="D3">
        <v>300</v>
      </c>
      <c r="E3">
        <v>2</v>
      </c>
      <c r="F3" s="6">
        <v>0.63736000000000004</v>
      </c>
      <c r="G3" s="6">
        <v>-1.1436999999999999</v>
      </c>
      <c r="H3" s="6">
        <v>7.4623999999999997</v>
      </c>
      <c r="I3" s="6">
        <v>-12.6905</v>
      </c>
      <c r="J3" s="6">
        <v>11.916499999999999</v>
      </c>
      <c r="K3" s="6">
        <v>-6.1872100000000003</v>
      </c>
      <c r="L3" s="6">
        <v>1.6393899999999999</v>
      </c>
      <c r="M3" s="6">
        <v>-0.17266699999999999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</row>
    <row r="4" spans="1:19" x14ac:dyDescent="0.3">
      <c r="A4" t="s">
        <v>33</v>
      </c>
      <c r="B4" t="s">
        <v>31</v>
      </c>
      <c r="C4">
        <v>4</v>
      </c>
      <c r="D4">
        <v>300</v>
      </c>
      <c r="E4">
        <v>1</v>
      </c>
      <c r="F4" s="6">
        <v>-0.90932999999999997</v>
      </c>
      <c r="G4" s="6">
        <v>5.7510000000000003</v>
      </c>
      <c r="H4" s="6">
        <v>-11.112</v>
      </c>
      <c r="I4" s="6">
        <v>13.612</v>
      </c>
      <c r="J4" s="6">
        <v>-9.3977000000000004</v>
      </c>
      <c r="K4" s="6">
        <v>3.6873</v>
      </c>
      <c r="L4" s="6">
        <v>-0.77295000000000003</v>
      </c>
      <c r="M4" s="6">
        <v>6.7335999999999993E-2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</row>
    <row r="5" spans="1:19" x14ac:dyDescent="0.3">
      <c r="A5" t="s">
        <v>34</v>
      </c>
      <c r="B5" t="s">
        <v>31</v>
      </c>
      <c r="C5">
        <v>4</v>
      </c>
      <c r="D5">
        <v>300</v>
      </c>
      <c r="E5">
        <v>0.5</v>
      </c>
      <c r="F5" s="6">
        <v>7.918E-2</v>
      </c>
      <c r="G5" s="6">
        <v>1.0956999999999999</v>
      </c>
      <c r="H5" s="6">
        <v>-7.2770000000000001E-2</v>
      </c>
      <c r="I5" s="6">
        <v>8.0839999999999995E-2</v>
      </c>
      <c r="J5" s="6">
        <v>2.8029999999999999E-2</v>
      </c>
      <c r="K5" s="6">
        <v>-9.4640000000000002E-2</v>
      </c>
      <c r="L5" s="6">
        <v>4.1790000000000001E-2</v>
      </c>
      <c r="M5" s="6">
        <v>-5.7099999999999998E-3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</row>
    <row r="6" spans="1:19" x14ac:dyDescent="0.3">
      <c r="A6" t="s">
        <v>35</v>
      </c>
      <c r="B6" t="s">
        <v>31</v>
      </c>
      <c r="C6">
        <v>4</v>
      </c>
      <c r="D6">
        <v>296</v>
      </c>
      <c r="E6">
        <v>2</v>
      </c>
      <c r="F6" s="6">
        <v>22.401399999999999</v>
      </c>
      <c r="G6" s="6">
        <v>-141.13399999999999</v>
      </c>
      <c r="H6" s="6">
        <v>394.95499999999998</v>
      </c>
      <c r="I6" s="6">
        <v>-601.154</v>
      </c>
      <c r="J6" s="6">
        <v>547.83199999999999</v>
      </c>
      <c r="K6" s="6">
        <v>-305.99700000000001</v>
      </c>
      <c r="L6" s="6">
        <v>102.387</v>
      </c>
      <c r="M6" s="6">
        <v>-18.810199999999998</v>
      </c>
      <c r="N6" s="6">
        <v>1.4576899999999999</v>
      </c>
      <c r="O6" s="6">
        <v>0</v>
      </c>
      <c r="P6" s="6">
        <v>0</v>
      </c>
      <c r="Q6" s="6">
        <v>0</v>
      </c>
      <c r="R6" s="6">
        <v>0</v>
      </c>
      <c r="S6" s="6">
        <v>0</v>
      </c>
    </row>
    <row r="7" spans="1:19" x14ac:dyDescent="0.3">
      <c r="A7" t="s">
        <v>36</v>
      </c>
      <c r="B7" t="s">
        <v>37</v>
      </c>
      <c r="C7">
        <v>0.26400000000000001</v>
      </c>
      <c r="D7">
        <v>1.0609999999999999</v>
      </c>
      <c r="E7">
        <v>6.4580000000000002</v>
      </c>
      <c r="F7" s="6">
        <v>-18.510400000000001</v>
      </c>
      <c r="G7" s="6">
        <v>29.253599999999999</v>
      </c>
      <c r="H7" s="6">
        <v>2.0771899999999999</v>
      </c>
      <c r="I7" s="6">
        <v>-2.2200500000000001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</row>
    <row r="8" spans="1:19" x14ac:dyDescent="0.3">
      <c r="A8" t="s">
        <v>38</v>
      </c>
      <c r="B8" t="s">
        <v>37</v>
      </c>
      <c r="C8">
        <v>0.26400000000000001</v>
      </c>
      <c r="D8">
        <v>1.0609999999999999</v>
      </c>
      <c r="E8">
        <v>6.4580000000000002</v>
      </c>
      <c r="F8" s="6">
        <v>-18.510400000000001</v>
      </c>
      <c r="G8" s="6">
        <v>29.253599999999999</v>
      </c>
      <c r="H8" s="6">
        <v>2.0771899999999999</v>
      </c>
      <c r="I8" s="6">
        <v>-2.2200500000000001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</row>
    <row r="9" spans="1:19" x14ac:dyDescent="0.3">
      <c r="A9" t="s">
        <v>39</v>
      </c>
      <c r="B9" t="s">
        <v>31</v>
      </c>
      <c r="C9">
        <v>88</v>
      </c>
      <c r="D9">
        <v>300</v>
      </c>
      <c r="E9">
        <v>1.5</v>
      </c>
      <c r="F9" s="6">
        <v>4172.45</v>
      </c>
      <c r="G9" s="6">
        <v>-11310</v>
      </c>
      <c r="H9" s="6">
        <v>12745.1</v>
      </c>
      <c r="I9" s="6">
        <v>-7647.58</v>
      </c>
      <c r="J9" s="6">
        <v>2577.31</v>
      </c>
      <c r="K9" s="6">
        <v>-462.53800000000001</v>
      </c>
      <c r="L9" s="6">
        <v>34.5351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</row>
    <row r="10" spans="1:19" x14ac:dyDescent="0.3">
      <c r="A10" t="s">
        <v>40</v>
      </c>
      <c r="B10" t="s">
        <v>31</v>
      </c>
      <c r="C10">
        <v>92</v>
      </c>
      <c r="D10">
        <v>300</v>
      </c>
      <c r="E10">
        <v>1</v>
      </c>
      <c r="F10" s="6">
        <v>-1375.11</v>
      </c>
      <c r="G10" s="6">
        <v>3740.69</v>
      </c>
      <c r="H10" s="6">
        <v>-4238.47</v>
      </c>
      <c r="I10" s="6">
        <v>2559.33</v>
      </c>
      <c r="J10" s="6">
        <v>-868.60699999999997</v>
      </c>
      <c r="K10" s="6">
        <v>157.102</v>
      </c>
      <c r="L10" s="6">
        <v>-11.829599999999999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</row>
    <row r="11" spans="1:19" x14ac:dyDescent="0.3">
      <c r="A11" t="s">
        <v>41</v>
      </c>
      <c r="B11" t="s">
        <v>31</v>
      </c>
      <c r="C11">
        <v>2</v>
      </c>
      <c r="D11">
        <v>80</v>
      </c>
      <c r="E11">
        <v>2</v>
      </c>
      <c r="F11" s="6">
        <v>-0.50014999999999998</v>
      </c>
      <c r="G11" s="6">
        <v>1.9319</v>
      </c>
      <c r="H11" s="6">
        <v>-1.6954</v>
      </c>
      <c r="I11" s="6">
        <v>0.71218000000000004</v>
      </c>
      <c r="J11" s="6">
        <v>1.2787999999999999</v>
      </c>
      <c r="K11" s="6">
        <v>-1.6145</v>
      </c>
      <c r="L11" s="6">
        <v>0.68722000000000005</v>
      </c>
      <c r="M11" s="6">
        <v>-0.10501000000000001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</row>
    <row r="12" spans="1:19" x14ac:dyDescent="0.3">
      <c r="A12" t="s">
        <v>42</v>
      </c>
      <c r="B12" t="s">
        <v>31</v>
      </c>
      <c r="C12">
        <v>5</v>
      </c>
      <c r="D12">
        <v>116</v>
      </c>
      <c r="E12">
        <v>1.5</v>
      </c>
      <c r="F12" s="6">
        <v>2.1035000000000002E-2</v>
      </c>
      <c r="G12" s="6">
        <v>-1.0183500000000001</v>
      </c>
      <c r="H12" s="6">
        <v>4.5408299999999997</v>
      </c>
      <c r="I12" s="6">
        <v>-5.0337399999999999</v>
      </c>
      <c r="J12" s="6">
        <v>3.2053600000000002</v>
      </c>
      <c r="K12" s="6">
        <v>-1.1293299999999999</v>
      </c>
      <c r="L12" s="6">
        <v>0.17405699999999999</v>
      </c>
      <c r="M12" s="6">
        <v>-3.8151000000000001E-3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</row>
    <row r="13" spans="1:19" x14ac:dyDescent="0.3">
      <c r="A13" t="s">
        <v>43</v>
      </c>
      <c r="B13" t="s">
        <v>37</v>
      </c>
      <c r="C13">
        <v>0.13400000000000001</v>
      </c>
      <c r="D13">
        <v>4.8419999999999996</v>
      </c>
      <c r="E13">
        <v>14.228</v>
      </c>
      <c r="F13" s="6">
        <v>2.4980899999999998E-4</v>
      </c>
      <c r="G13" s="6">
        <v>-2.17074E-3</v>
      </c>
      <c r="H13" s="6">
        <v>5.2094200000000002E-3</v>
      </c>
      <c r="I13" s="6">
        <v>3.9966899999999998E-3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</row>
    <row r="14" spans="1:19" x14ac:dyDescent="0.3">
      <c r="A14" t="s">
        <v>44</v>
      </c>
      <c r="B14" t="s">
        <v>37</v>
      </c>
      <c r="C14">
        <v>0.13400000000000001</v>
      </c>
      <c r="D14">
        <v>4.8419999999999996</v>
      </c>
      <c r="E14">
        <v>4.8520000000000003</v>
      </c>
      <c r="F14" s="6">
        <v>2.6481900000000001E-4</v>
      </c>
      <c r="G14" s="6">
        <v>-2.5481000000000002E-3</v>
      </c>
      <c r="H14" s="6">
        <v>6.8985899999999996E-3</v>
      </c>
      <c r="I14" s="6">
        <v>3.3388900000000002E-3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</row>
    <row r="15" spans="1:19" x14ac:dyDescent="0.3">
      <c r="A15" t="s">
        <v>45</v>
      </c>
      <c r="B15" t="s">
        <v>37</v>
      </c>
      <c r="C15">
        <v>0.69799999999999995</v>
      </c>
      <c r="D15">
        <v>4.0199999999999996</v>
      </c>
      <c r="E15">
        <v>7.99</v>
      </c>
      <c r="F15" s="6">
        <v>9.2640999999999996E-5</v>
      </c>
      <c r="G15" s="6">
        <v>-1.2680899999999999E-3</v>
      </c>
      <c r="H15" s="6">
        <v>4.3668500000000002E-3</v>
      </c>
      <c r="I15" s="6">
        <v>1.05799E-3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</row>
    <row r="16" spans="1:19" x14ac:dyDescent="0.3">
      <c r="A16" t="s">
        <v>46</v>
      </c>
      <c r="B16" t="s">
        <v>37</v>
      </c>
      <c r="C16">
        <v>0.30399999999999999</v>
      </c>
      <c r="D16">
        <v>2.9710000000000001</v>
      </c>
      <c r="E16">
        <v>4.2960000000000003</v>
      </c>
      <c r="F16" s="6">
        <v>1.0902500000000001E-3</v>
      </c>
      <c r="G16" s="6">
        <v>-7.6321100000000001E-3</v>
      </c>
      <c r="H16" s="6">
        <v>1.9429800000000001E-2</v>
      </c>
      <c r="I16" s="6">
        <v>-2.5545899999999998E-3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</row>
    <row r="17" spans="1:19" x14ac:dyDescent="0.3">
      <c r="A17" t="s">
        <v>47</v>
      </c>
      <c r="B17" t="s">
        <v>31</v>
      </c>
      <c r="C17">
        <v>4</v>
      </c>
      <c r="D17">
        <v>300</v>
      </c>
      <c r="E17">
        <v>5</v>
      </c>
      <c r="F17" s="6">
        <v>-4.1235999999999997</v>
      </c>
      <c r="G17" s="6">
        <v>13.788</v>
      </c>
      <c r="H17" s="6">
        <v>-26.068000000000001</v>
      </c>
      <c r="I17" s="6">
        <v>26.271999999999998</v>
      </c>
      <c r="J17" s="6">
        <v>-14.663</v>
      </c>
      <c r="K17" s="6">
        <v>4.4954000000000001</v>
      </c>
      <c r="L17" s="6">
        <v>-0.6905</v>
      </c>
      <c r="M17" s="6">
        <v>3.9699999999999999E-2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</row>
    <row r="18" spans="1:19" x14ac:dyDescent="0.3">
      <c r="A18" t="s">
        <v>48</v>
      </c>
      <c r="B18" t="s">
        <v>31</v>
      </c>
      <c r="C18">
        <v>38</v>
      </c>
      <c r="D18">
        <v>300</v>
      </c>
      <c r="E18">
        <v>1</v>
      </c>
      <c r="F18" s="6">
        <v>689.53200000000004</v>
      </c>
      <c r="G18" s="6">
        <v>-2543.63</v>
      </c>
      <c r="H18" s="6">
        <v>3967.07</v>
      </c>
      <c r="I18" s="6">
        <v>-3400.37</v>
      </c>
      <c r="J18" s="6">
        <v>1731.72</v>
      </c>
      <c r="K18" s="6">
        <v>-524.30899999999997</v>
      </c>
      <c r="L18" s="6">
        <v>87.424899999999994</v>
      </c>
      <c r="M18" s="6">
        <v>-6.19597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</row>
    <row r="19" spans="1:19" x14ac:dyDescent="0.3">
      <c r="A19" t="s">
        <v>49</v>
      </c>
      <c r="B19" t="s">
        <v>37</v>
      </c>
      <c r="C19">
        <v>0.309</v>
      </c>
      <c r="D19">
        <v>4.0149999999999997</v>
      </c>
      <c r="E19">
        <v>5.3979999999999997</v>
      </c>
      <c r="F19" s="6">
        <v>5.7121400000000001E-4</v>
      </c>
      <c r="G19" s="6">
        <v>-4.47993E-3</v>
      </c>
      <c r="H19" s="6">
        <v>9.7279399999999992E-3</v>
      </c>
      <c r="I19" s="6">
        <v>2.98036E-3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</row>
    <row r="20" spans="1:19" x14ac:dyDescent="0.3">
      <c r="A20" t="s">
        <v>50</v>
      </c>
      <c r="B20" t="s">
        <v>31</v>
      </c>
      <c r="C20">
        <v>6</v>
      </c>
      <c r="D20">
        <v>275</v>
      </c>
      <c r="E20">
        <v>2</v>
      </c>
      <c r="F20" s="6">
        <v>-8.2892100000000006</v>
      </c>
      <c r="G20" s="6">
        <v>39.447000000000003</v>
      </c>
      <c r="H20" s="6">
        <v>-83.435299999999998</v>
      </c>
      <c r="I20" s="6">
        <v>98.168999999999997</v>
      </c>
      <c r="J20" s="6">
        <v>-67.208799999999997</v>
      </c>
      <c r="K20" s="6">
        <v>26.708200000000001</v>
      </c>
      <c r="L20" s="6">
        <v>-5.7205000000000004</v>
      </c>
      <c r="M20" s="6">
        <v>0.51114999999999999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</row>
    <row r="21" spans="1:19" x14ac:dyDescent="0.3">
      <c r="A21" t="s">
        <v>51</v>
      </c>
      <c r="B21" t="s">
        <v>31</v>
      </c>
      <c r="C21">
        <v>4</v>
      </c>
      <c r="D21">
        <v>300</v>
      </c>
      <c r="E21">
        <v>2</v>
      </c>
      <c r="F21" s="6">
        <v>-2.7063999999999999</v>
      </c>
      <c r="G21" s="6">
        <v>8.5190999999999999</v>
      </c>
      <c r="H21" s="6">
        <v>-15.923</v>
      </c>
      <c r="I21" s="6">
        <v>18.276</v>
      </c>
      <c r="J21" s="6">
        <v>-11.9116</v>
      </c>
      <c r="K21" s="6">
        <v>4.4031799999999999</v>
      </c>
      <c r="L21" s="6">
        <v>-0.86017999999999994</v>
      </c>
      <c r="M21" s="6">
        <v>6.8507999999999999E-2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</row>
    <row r="22" spans="1:19" x14ac:dyDescent="0.3">
      <c r="A22" t="s">
        <v>52</v>
      </c>
      <c r="B22" t="s">
        <v>37</v>
      </c>
      <c r="C22">
        <v>0.29799999999999999</v>
      </c>
      <c r="D22">
        <v>2.851</v>
      </c>
      <c r="E22">
        <v>15.978999999999999</v>
      </c>
      <c r="F22" s="6">
        <v>1.1403100000000001E-3</v>
      </c>
      <c r="G22" s="6">
        <v>-5.8609700000000001E-3</v>
      </c>
      <c r="H22" s="6">
        <v>8.6098600000000004E-3</v>
      </c>
      <c r="I22" s="6">
        <v>-1.14537E-4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</row>
    <row r="23" spans="1:19" x14ac:dyDescent="0.3">
      <c r="A23" t="s">
        <v>53</v>
      </c>
      <c r="B23" t="s">
        <v>31</v>
      </c>
      <c r="C23">
        <v>6</v>
      </c>
      <c r="D23">
        <v>302</v>
      </c>
      <c r="E23" t="s">
        <v>54</v>
      </c>
      <c r="F23" s="6">
        <v>-2.65</v>
      </c>
      <c r="G23" s="6">
        <v>1.98664</v>
      </c>
      <c r="H23" s="6">
        <v>1.24851</v>
      </c>
      <c r="I23" s="6">
        <v>0.56999999999999995</v>
      </c>
      <c r="J23" s="6">
        <v>-8</v>
      </c>
      <c r="K23" s="6">
        <v>0.77785700000000002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</row>
    <row r="24" spans="1:19" x14ac:dyDescent="0.3">
      <c r="A24" t="s">
        <v>55</v>
      </c>
      <c r="B24" t="s">
        <v>31</v>
      </c>
      <c r="C24">
        <v>0.1</v>
      </c>
      <c r="D24">
        <v>291</v>
      </c>
      <c r="E24" t="s">
        <v>54</v>
      </c>
      <c r="F24" s="6">
        <v>-2.4218999999999999</v>
      </c>
      <c r="G24" s="6">
        <v>1.98664</v>
      </c>
      <c r="H24" s="6">
        <v>1.2574399999999999</v>
      </c>
      <c r="I24" s="6">
        <v>0.96120899999999998</v>
      </c>
      <c r="J24" s="6">
        <v>-9.6105999999999998</v>
      </c>
      <c r="K24" s="6">
        <v>0.77785700000000002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</row>
    <row r="25" spans="1:19" x14ac:dyDescent="0.3">
      <c r="A25" t="s">
        <v>56</v>
      </c>
      <c r="B25" t="s">
        <v>31</v>
      </c>
      <c r="C25">
        <v>4</v>
      </c>
      <c r="D25">
        <v>296</v>
      </c>
      <c r="E25">
        <v>2</v>
      </c>
      <c r="F25" s="6">
        <v>38.963500000000003</v>
      </c>
      <c r="G25" s="6">
        <v>-221.405</v>
      </c>
      <c r="H25" s="6">
        <v>597.56600000000003</v>
      </c>
      <c r="I25" s="6">
        <v>-900.93799999999999</v>
      </c>
      <c r="J25" s="6">
        <v>816.40499999999997</v>
      </c>
      <c r="K25" s="6">
        <v>-455.08300000000003</v>
      </c>
      <c r="L25" s="6">
        <v>152.94</v>
      </c>
      <c r="M25" s="6">
        <v>-28.4512</v>
      </c>
      <c r="N25" s="6">
        <v>2.25162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</row>
    <row r="26" spans="1:19" x14ac:dyDescent="0.3">
      <c r="A26" t="s">
        <v>57</v>
      </c>
      <c r="B26" t="s">
        <v>37</v>
      </c>
      <c r="C26">
        <v>0.33700000000000002</v>
      </c>
      <c r="D26">
        <v>3.2130000000000001</v>
      </c>
      <c r="E26">
        <v>4.7220000000000004</v>
      </c>
      <c r="F26" s="6">
        <v>-2.26171E-4</v>
      </c>
      <c r="G26" s="6">
        <v>9.7055100000000005E-4</v>
      </c>
      <c r="H26" s="6">
        <v>4.6159299999999999E-3</v>
      </c>
      <c r="I26" s="6">
        <v>-1.1962699999999999E-3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</row>
    <row r="27" spans="1:19" x14ac:dyDescent="0.3">
      <c r="A27" t="s">
        <v>58</v>
      </c>
      <c r="B27" t="s">
        <v>31</v>
      </c>
      <c r="C27">
        <v>2</v>
      </c>
      <c r="D27">
        <v>373</v>
      </c>
      <c r="E27">
        <v>3</v>
      </c>
      <c r="F27" s="6">
        <v>10.7826</v>
      </c>
      <c r="G27" s="6">
        <v>-72.130700000000004</v>
      </c>
      <c r="H27" s="6">
        <v>228.57400000000001</v>
      </c>
      <c r="I27" s="6">
        <v>-384.50400000000002</v>
      </c>
      <c r="J27" s="6">
        <v>381.43799999999999</v>
      </c>
      <c r="K27" s="6">
        <v>-228.83799999999999</v>
      </c>
      <c r="L27" s="6">
        <v>81.266599999999997</v>
      </c>
      <c r="M27" s="6">
        <v>-15.691000000000001</v>
      </c>
      <c r="N27" s="6">
        <v>1.26814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</row>
    <row r="28" spans="1:19" x14ac:dyDescent="0.3">
      <c r="A28" t="s">
        <v>59</v>
      </c>
      <c r="B28" t="s">
        <v>31</v>
      </c>
      <c r="C28">
        <v>4</v>
      </c>
      <c r="D28">
        <v>300</v>
      </c>
      <c r="E28">
        <v>2</v>
      </c>
      <c r="F28" s="6">
        <v>-3.5785</v>
      </c>
      <c r="G28" s="6">
        <v>20.803999999999998</v>
      </c>
      <c r="H28" s="6">
        <v>-55.826000000000001</v>
      </c>
      <c r="I28" s="6">
        <v>87.811999999999998</v>
      </c>
      <c r="J28" s="6">
        <v>-83.501599999999996</v>
      </c>
      <c r="K28" s="6">
        <v>49.08</v>
      </c>
      <c r="L28" s="6">
        <v>-17.434799999999999</v>
      </c>
      <c r="M28" s="6">
        <v>3.4277000000000002</v>
      </c>
      <c r="N28" s="6">
        <v>-0.28621999999999997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</row>
    <row r="29" spans="1:19" x14ac:dyDescent="0.3">
      <c r="A29" t="s">
        <v>60</v>
      </c>
      <c r="B29" t="s">
        <v>31</v>
      </c>
      <c r="C29">
        <v>4</v>
      </c>
      <c r="D29">
        <v>300</v>
      </c>
      <c r="E29">
        <v>2</v>
      </c>
      <c r="F29" s="6">
        <v>0.89480999999999999</v>
      </c>
      <c r="G29" s="6">
        <v>-8.1997999999999998</v>
      </c>
      <c r="H29" s="6">
        <v>22.096</v>
      </c>
      <c r="I29" s="6">
        <v>-27.645</v>
      </c>
      <c r="J29" s="6">
        <v>19.752400000000002</v>
      </c>
      <c r="K29" s="6">
        <v>-8.1113</v>
      </c>
      <c r="L29" s="6">
        <v>1.7786599999999999</v>
      </c>
      <c r="M29" s="6">
        <v>-0.16172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</row>
    <row r="30" spans="1:19" x14ac:dyDescent="0.3">
      <c r="A30" t="s">
        <v>61</v>
      </c>
      <c r="B30" t="s">
        <v>31</v>
      </c>
      <c r="C30">
        <v>4</v>
      </c>
      <c r="D30">
        <v>300</v>
      </c>
      <c r="E30">
        <v>2</v>
      </c>
      <c r="F30" s="6">
        <v>-0.57245000000000001</v>
      </c>
      <c r="G30" s="6">
        <v>-0.33593000000000001</v>
      </c>
      <c r="H30" s="6">
        <v>3.9379</v>
      </c>
      <c r="I30" s="6">
        <v>-5.4588999999999999</v>
      </c>
      <c r="J30" s="6">
        <v>4.2336999999999998</v>
      </c>
      <c r="K30" s="6">
        <v>-1.8653</v>
      </c>
      <c r="L30" s="6">
        <v>0.43223</v>
      </c>
      <c r="M30" s="6">
        <v>-4.1207000000000001E-2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</row>
    <row r="31" spans="1:19" x14ac:dyDescent="0.3">
      <c r="A31" t="s">
        <v>62</v>
      </c>
      <c r="B31" t="s">
        <v>31</v>
      </c>
      <c r="C31">
        <v>4</v>
      </c>
      <c r="D31">
        <v>300</v>
      </c>
      <c r="E31">
        <v>2</v>
      </c>
      <c r="F31" s="6">
        <v>-7.1278499999999995E-2</v>
      </c>
      <c r="G31" s="6">
        <v>-3.4873500000000002</v>
      </c>
      <c r="H31" s="6">
        <v>10.6547</v>
      </c>
      <c r="I31" s="6">
        <v>-12.9153</v>
      </c>
      <c r="J31" s="6">
        <v>8.8906600000000005</v>
      </c>
      <c r="K31" s="6">
        <v>-3.5148199999999998</v>
      </c>
      <c r="L31" s="6">
        <v>0.74364300000000005</v>
      </c>
      <c r="M31" s="6">
        <v>-6.5788399999999997E-2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</row>
    <row r="32" spans="1:19" x14ac:dyDescent="0.3">
      <c r="A32" t="s">
        <v>63</v>
      </c>
      <c r="B32" t="s">
        <v>31</v>
      </c>
      <c r="C32">
        <v>1</v>
      </c>
      <c r="D32">
        <v>83</v>
      </c>
      <c r="E32">
        <v>1</v>
      </c>
      <c r="F32" s="6">
        <v>-1.37737</v>
      </c>
      <c r="G32" s="6">
        <v>-3.4066800000000002</v>
      </c>
      <c r="H32" s="6">
        <v>20.584199999999999</v>
      </c>
      <c r="I32" s="6">
        <v>-53.124400000000001</v>
      </c>
      <c r="J32" s="6">
        <v>73.247600000000006</v>
      </c>
      <c r="K32" s="6">
        <v>-57.654600000000002</v>
      </c>
      <c r="L32" s="6">
        <v>26.119199999999999</v>
      </c>
      <c r="M32" s="6">
        <v>-6.3479000000000001</v>
      </c>
      <c r="N32" s="6">
        <v>0.64033099999999998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</row>
    <row r="33" spans="1:19" x14ac:dyDescent="0.3">
      <c r="A33" t="s">
        <v>64</v>
      </c>
      <c r="B33" t="s">
        <v>31</v>
      </c>
      <c r="C33">
        <v>3</v>
      </c>
      <c r="D33">
        <v>298</v>
      </c>
      <c r="E33">
        <v>3</v>
      </c>
      <c r="F33" s="6">
        <v>-7.3345000000000002</v>
      </c>
      <c r="G33" s="6">
        <v>80.855000000000004</v>
      </c>
      <c r="H33" s="6">
        <v>-268.44099999999997</v>
      </c>
      <c r="I33" s="6">
        <v>481.62900000000002</v>
      </c>
      <c r="J33" s="6">
        <v>-503.89</v>
      </c>
      <c r="K33" s="6">
        <v>314.81299999999999</v>
      </c>
      <c r="L33" s="6">
        <v>-115.699</v>
      </c>
      <c r="M33" s="6">
        <v>23.095700000000001</v>
      </c>
      <c r="N33" s="6">
        <v>-1.9336199999999999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</row>
    <row r="34" spans="1:19" x14ac:dyDescent="0.3">
      <c r="A34" t="s">
        <v>65</v>
      </c>
      <c r="B34" t="s">
        <v>31</v>
      </c>
      <c r="C34">
        <v>4</v>
      </c>
      <c r="D34">
        <v>300</v>
      </c>
      <c r="E34">
        <v>2</v>
      </c>
      <c r="F34" s="6">
        <v>-2.6135000000000002</v>
      </c>
      <c r="G34" s="6">
        <v>2.3239000000000001</v>
      </c>
      <c r="H34" s="6">
        <v>-4.7586000000000004</v>
      </c>
      <c r="I34" s="6">
        <v>7.1601999999999997</v>
      </c>
      <c r="J34" s="6">
        <v>-4.9154999999999998</v>
      </c>
      <c r="K34" s="6">
        <v>1.6324000000000001</v>
      </c>
      <c r="L34" s="6">
        <v>-0.25069999999999998</v>
      </c>
      <c r="M34" s="6">
        <v>1.3100000000000001E-2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</row>
    <row r="35" spans="1:19" x14ac:dyDescent="0.3">
      <c r="A35" t="s">
        <v>66</v>
      </c>
      <c r="B35" t="s">
        <v>31</v>
      </c>
      <c r="C35">
        <v>4</v>
      </c>
      <c r="D35">
        <v>300</v>
      </c>
      <c r="E35">
        <v>2</v>
      </c>
      <c r="F35" s="6">
        <v>5.7310100000000004</v>
      </c>
      <c r="G35" s="6">
        <v>-39.5199</v>
      </c>
      <c r="H35" s="6">
        <v>79.931299999999993</v>
      </c>
      <c r="I35" s="6">
        <v>-83.857200000000006</v>
      </c>
      <c r="J35" s="6">
        <v>50.915700000000001</v>
      </c>
      <c r="K35" s="6">
        <v>-17.983499999999999</v>
      </c>
      <c r="L35" s="6">
        <v>3.4241299999999999</v>
      </c>
      <c r="M35" s="6">
        <v>-0.27133000000000002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</row>
    <row r="36" spans="1:19" x14ac:dyDescent="0.3">
      <c r="A36" t="s">
        <v>67</v>
      </c>
      <c r="B36" t="s">
        <v>31</v>
      </c>
      <c r="C36">
        <v>90</v>
      </c>
      <c r="D36">
        <v>300</v>
      </c>
      <c r="E36">
        <v>2</v>
      </c>
      <c r="F36" s="6">
        <v>-1557.5</v>
      </c>
      <c r="G36" s="6">
        <v>3984.7</v>
      </c>
      <c r="H36" s="6">
        <v>-3940.24</v>
      </c>
      <c r="I36" s="6">
        <v>1649.67</v>
      </c>
      <c r="J36" s="6">
        <v>12.801</v>
      </c>
      <c r="K36" s="6">
        <v>-294.262</v>
      </c>
      <c r="L36" s="6">
        <v>119.59</v>
      </c>
      <c r="M36" s="6">
        <v>-20.630099999999999</v>
      </c>
      <c r="N36" s="6">
        <v>1.36067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</row>
    <row r="37" spans="1:19" x14ac:dyDescent="0.3">
      <c r="A37" t="s">
        <v>68</v>
      </c>
      <c r="B37" t="s">
        <v>31</v>
      </c>
      <c r="C37">
        <v>76</v>
      </c>
      <c r="D37">
        <v>300</v>
      </c>
      <c r="E37">
        <v>2</v>
      </c>
      <c r="F37" s="6">
        <v>-3218.68</v>
      </c>
      <c r="G37" s="6">
        <v>9201.61</v>
      </c>
      <c r="H37" s="6">
        <v>-10956.7</v>
      </c>
      <c r="I37" s="6">
        <v>6950.1</v>
      </c>
      <c r="J37" s="6">
        <v>-2476.94</v>
      </c>
      <c r="K37" s="6">
        <v>470.28399999999999</v>
      </c>
      <c r="L37" s="6">
        <v>-37.166899999999998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</row>
    <row r="38" spans="1:19" x14ac:dyDescent="0.3">
      <c r="A38" t="s">
        <v>69</v>
      </c>
      <c r="B38" t="s">
        <v>31</v>
      </c>
      <c r="C38">
        <v>100</v>
      </c>
      <c r="D38">
        <v>300</v>
      </c>
      <c r="E38">
        <v>1.5</v>
      </c>
      <c r="F38" s="6">
        <v>11314.6</v>
      </c>
      <c r="G38" s="6">
        <v>-30824.3</v>
      </c>
      <c r="H38" s="6">
        <v>34964.199999999997</v>
      </c>
      <c r="I38" s="6">
        <v>-21141.4</v>
      </c>
      <c r="J38" s="6">
        <v>7187.43</v>
      </c>
      <c r="K38" s="6">
        <v>-1302.71</v>
      </c>
      <c r="L38" s="6">
        <v>98.352500000000006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</row>
    <row r="39" spans="1:19" x14ac:dyDescent="0.3">
      <c r="A39" t="s">
        <v>70</v>
      </c>
      <c r="B39" t="s">
        <v>37</v>
      </c>
      <c r="C39">
        <v>0.38500000000000001</v>
      </c>
      <c r="D39">
        <v>1672</v>
      </c>
      <c r="E39">
        <v>3.9529999999999998</v>
      </c>
      <c r="F39" s="6">
        <v>2.2336699999999999E-7</v>
      </c>
      <c r="G39" s="6">
        <v>-5.0429600000000002E-5</v>
      </c>
      <c r="H39" s="6">
        <v>3.0138600000000001E-3</v>
      </c>
      <c r="I39" s="6">
        <v>6.9650199999999995E-2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119.786</v>
      </c>
      <c r="P39" s="6">
        <v>3.4208099999999998E-2</v>
      </c>
      <c r="Q39" s="6">
        <v>-0.17113200000000001</v>
      </c>
      <c r="R39" s="6">
        <v>0.62353599999999998</v>
      </c>
      <c r="S39" s="6">
        <v>0.14921300000000001</v>
      </c>
    </row>
    <row r="40" spans="1:19" x14ac:dyDescent="0.3">
      <c r="A40" t="s">
        <v>71</v>
      </c>
      <c r="B40" t="s">
        <v>31</v>
      </c>
      <c r="C40">
        <v>4</v>
      </c>
      <c r="D40">
        <v>300</v>
      </c>
      <c r="E40">
        <v>2</v>
      </c>
      <c r="F40" s="6">
        <v>-1.4087000000000001</v>
      </c>
      <c r="G40" s="6">
        <v>1.3982000000000001</v>
      </c>
      <c r="H40" s="6">
        <v>0.25430000000000003</v>
      </c>
      <c r="I40" s="6">
        <v>-0.626</v>
      </c>
      <c r="J40" s="6">
        <v>0.2334</v>
      </c>
      <c r="K40" s="6">
        <v>0.42559999999999998</v>
      </c>
      <c r="L40" s="6">
        <v>-0.46579999999999999</v>
      </c>
      <c r="M40" s="6">
        <v>0.16500000000000001</v>
      </c>
      <c r="N40" s="6">
        <v>-1.9900000000000001E-2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</row>
    <row r="41" spans="1:19" x14ac:dyDescent="0.3">
      <c r="A41" t="s">
        <v>72</v>
      </c>
      <c r="B41" t="s">
        <v>73</v>
      </c>
      <c r="C41">
        <v>0.374</v>
      </c>
      <c r="D41">
        <v>1.67</v>
      </c>
      <c r="E41">
        <v>2.2930000000000001</v>
      </c>
      <c r="F41" s="6">
        <v>4.5059399999999999E-2</v>
      </c>
      <c r="G41" s="6">
        <v>-0.166211</v>
      </c>
      <c r="H41" s="6">
        <v>0.20047100000000001</v>
      </c>
      <c r="I41" s="6">
        <v>-4.4448500000000002E-3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</row>
    <row r="42" spans="1:19" x14ac:dyDescent="0.3">
      <c r="A42" t="s">
        <v>74</v>
      </c>
      <c r="B42" t="s">
        <v>75</v>
      </c>
      <c r="C42">
        <v>148.15</v>
      </c>
      <c r="D42">
        <v>1273.1500000000001</v>
      </c>
      <c r="E42">
        <v>2.415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4.8150600000000002E-2</v>
      </c>
      <c r="Q42" s="6">
        <v>-0.22143199999999999</v>
      </c>
      <c r="R42" s="6">
        <v>0.64670799999999995</v>
      </c>
      <c r="S42" s="6">
        <v>0.12534600000000001</v>
      </c>
    </row>
    <row r="43" spans="1:19" x14ac:dyDescent="0.3">
      <c r="A43" t="s">
        <v>8</v>
      </c>
      <c r="B43" t="s">
        <v>37</v>
      </c>
      <c r="C43">
        <v>4.4999999999999998E-2</v>
      </c>
      <c r="D43">
        <v>1670.15</v>
      </c>
      <c r="E43">
        <v>3.3919999999999999</v>
      </c>
      <c r="F43" s="6">
        <v>1.9410900000000001E-6</v>
      </c>
      <c r="G43" s="6">
        <v>-2.0527800000000001E-4</v>
      </c>
      <c r="H43" s="6">
        <v>6.6918400000000001E-3</v>
      </c>
      <c r="I43" s="6">
        <v>4.8098799999999997E-2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119.339</v>
      </c>
      <c r="P43" s="6">
        <v>0.10989599999999999</v>
      </c>
      <c r="Q43" s="6">
        <v>-0.72620499999999999</v>
      </c>
      <c r="R43" s="6">
        <v>1.9790399999999999</v>
      </c>
      <c r="S43" s="6">
        <v>-0.97872400000000004</v>
      </c>
    </row>
    <row r="44" spans="1:19" x14ac:dyDescent="0.3">
      <c r="A44" t="s">
        <v>76</v>
      </c>
      <c r="B44" t="s">
        <v>37</v>
      </c>
      <c r="C44">
        <v>0.39300000000000002</v>
      </c>
      <c r="D44">
        <v>1623.194</v>
      </c>
      <c r="E44" s="6">
        <v>0</v>
      </c>
      <c r="F44" s="6">
        <v>2.7201099999999999E-7</v>
      </c>
      <c r="G44" s="6">
        <v>-5.9751499999999999E-5</v>
      </c>
      <c r="H44" s="6">
        <v>3.5604600000000001E-3</v>
      </c>
      <c r="I44" s="6">
        <v>6.0495599999999997E-2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116.307</v>
      </c>
      <c r="P44" s="6">
        <v>0.103982</v>
      </c>
      <c r="Q44" s="6">
        <v>-0.74136599999999997</v>
      </c>
      <c r="R44" s="6">
        <v>2.17727</v>
      </c>
      <c r="S44" s="6">
        <v>-1.2478499999999999</v>
      </c>
    </row>
    <row r="45" spans="1:19" x14ac:dyDescent="0.3">
      <c r="A45" t="s">
        <v>77</v>
      </c>
      <c r="B45" t="s">
        <v>37</v>
      </c>
      <c r="C45">
        <v>4.4999999999999998E-2</v>
      </c>
      <c r="D45">
        <v>1672</v>
      </c>
      <c r="E45">
        <v>6.1479999999999997</v>
      </c>
      <c r="F45" s="6">
        <v>3.1315799999999998E-7</v>
      </c>
      <c r="G45" s="6">
        <v>-6.6683899999999994E-5</v>
      </c>
      <c r="H45" s="6">
        <v>3.84607E-3</v>
      </c>
      <c r="I45" s="6">
        <v>5.8948E-2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119.471</v>
      </c>
      <c r="P45" s="6">
        <v>0.16169500000000001</v>
      </c>
      <c r="Q45" s="6">
        <v>-1.09799</v>
      </c>
      <c r="R45" s="6">
        <v>2.8241299999999998</v>
      </c>
      <c r="S45" s="6">
        <v>-1.56968</v>
      </c>
    </row>
    <row r="46" spans="1:19" x14ac:dyDescent="0.3">
      <c r="A46" t="s">
        <v>78</v>
      </c>
      <c r="B46" t="s">
        <v>31</v>
      </c>
      <c r="C46">
        <v>4</v>
      </c>
      <c r="D46">
        <v>300</v>
      </c>
      <c r="E46">
        <v>5</v>
      </c>
      <c r="F46" s="6">
        <v>2.738</v>
      </c>
      <c r="G46" s="6">
        <v>-30.677</v>
      </c>
      <c r="H46" s="6">
        <v>89.43</v>
      </c>
      <c r="I46" s="6">
        <v>-136.99</v>
      </c>
      <c r="J46" s="6">
        <v>124.69</v>
      </c>
      <c r="K46" s="6">
        <v>-69.555999999999997</v>
      </c>
      <c r="L46" s="6">
        <v>23.32</v>
      </c>
      <c r="M46" s="6">
        <v>-4.3135000000000003</v>
      </c>
      <c r="N46" s="6">
        <v>0.33828999999999998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</row>
    <row r="47" spans="1:19" x14ac:dyDescent="0.3">
      <c r="A47" t="s">
        <v>79</v>
      </c>
      <c r="B47" t="s">
        <v>73</v>
      </c>
      <c r="C47">
        <v>0</v>
      </c>
      <c r="D47">
        <v>0</v>
      </c>
      <c r="E47">
        <v>11.286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</row>
    <row r="48" spans="1:19" x14ac:dyDescent="0.3">
      <c r="A48" t="s">
        <v>80</v>
      </c>
      <c r="B48" t="s">
        <v>75</v>
      </c>
      <c r="C48">
        <v>6.0999999999999999E-2</v>
      </c>
      <c r="D48">
        <v>1173.1500000000001</v>
      </c>
      <c r="E48">
        <v>13.131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4.8406200000000003E-2</v>
      </c>
      <c r="Q48" s="6">
        <v>-0.43785499999999999</v>
      </c>
      <c r="R48" s="6">
        <v>1.72407</v>
      </c>
      <c r="S48" s="6">
        <v>-1.41506</v>
      </c>
    </row>
    <row r="49" spans="1:19" x14ac:dyDescent="0.3">
      <c r="A49" t="s">
        <v>81</v>
      </c>
      <c r="B49" t="s">
        <v>31</v>
      </c>
      <c r="C49">
        <v>1.4</v>
      </c>
      <c r="D49">
        <v>300</v>
      </c>
      <c r="E49">
        <v>3</v>
      </c>
      <c r="F49" s="6">
        <v>-2.39879</v>
      </c>
      <c r="G49" s="6">
        <v>8.9707399999999993</v>
      </c>
      <c r="H49" s="6">
        <v>-29.192900000000002</v>
      </c>
      <c r="I49" s="6">
        <v>54.871400000000001</v>
      </c>
      <c r="J49" s="6">
        <v>-59.671399999999998</v>
      </c>
      <c r="K49" s="6">
        <v>38.8932</v>
      </c>
      <c r="L49" s="6">
        <v>-14.941800000000001</v>
      </c>
      <c r="M49" s="6">
        <v>3.1116199999999998</v>
      </c>
      <c r="N49" s="6">
        <v>-0.270453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</row>
    <row r="50" spans="1:19" x14ac:dyDescent="0.3">
      <c r="A50" t="s">
        <v>82</v>
      </c>
      <c r="B50" t="s">
        <v>37</v>
      </c>
      <c r="C50">
        <v>0.30299999999999999</v>
      </c>
      <c r="D50">
        <v>2.9769999999999999</v>
      </c>
      <c r="E50">
        <v>3.2650000000000001</v>
      </c>
      <c r="F50" s="6">
        <v>1.34033E-3</v>
      </c>
      <c r="G50" s="6">
        <v>-8.1721499999999996E-3</v>
      </c>
      <c r="H50" s="6">
        <v>1.52769E-2</v>
      </c>
      <c r="I50" s="6">
        <v>-7.5278599999999997E-4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</row>
    <row r="51" spans="1:19" x14ac:dyDescent="0.3">
      <c r="A51" t="s">
        <v>83</v>
      </c>
      <c r="B51" t="s">
        <v>37</v>
      </c>
      <c r="C51">
        <v>0.32200000000000001</v>
      </c>
      <c r="D51">
        <v>3.032</v>
      </c>
      <c r="E51">
        <v>26.713999999999999</v>
      </c>
      <c r="F51" s="6">
        <v>3.4050900000000002E-4</v>
      </c>
      <c r="G51" s="6">
        <v>-1.8072299999999999E-3</v>
      </c>
      <c r="H51" s="6">
        <v>3.15702E-3</v>
      </c>
      <c r="I51" s="6">
        <v>2.5303199999999999E-4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</row>
    <row r="52" spans="1:19" x14ac:dyDescent="0.3">
      <c r="A52" t="s">
        <v>84</v>
      </c>
      <c r="B52" t="s">
        <v>85</v>
      </c>
      <c r="C52">
        <v>3.4000000000000002E-2</v>
      </c>
      <c r="D52">
        <v>1000</v>
      </c>
      <c r="E52" s="6">
        <v>0</v>
      </c>
      <c r="F52" s="6">
        <v>9.3000000000000007</v>
      </c>
      <c r="G52" s="6">
        <v>2.7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 Thermal Model</vt:lpstr>
      <vt:lpstr>ConductivityParameters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Nachman</dc:creator>
  <cp:lastModifiedBy>Nachman, Henry E</cp:lastModifiedBy>
  <dcterms:created xsi:type="dcterms:W3CDTF">2024-03-27T18:46:17Z</dcterms:created>
  <dcterms:modified xsi:type="dcterms:W3CDTF">2024-04-16T18:32:35Z</dcterms:modified>
</cp:coreProperties>
</file>