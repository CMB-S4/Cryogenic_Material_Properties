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ng25864\Downloads\"/>
    </mc:Choice>
  </mc:AlternateContent>
  <xr:revisionPtr revIDLastSave="0" documentId="13_ncr:1_{0FD11443-58D1-4D04-BA17-4E5D87F89957}" xr6:coauthVersionLast="47" xr6:coauthVersionMax="47" xr10:uidLastSave="{00000000-0000-0000-0000-000000000000}"/>
  <bookViews>
    <workbookView xWindow="-38520" yWindow="-1635" windowWidth="38640" windowHeight="21240" xr2:uid="{D1996491-F8EF-4211-958F-AD8973F3D706}"/>
  </bookViews>
  <sheets>
    <sheet name="Sample Thermal Model" sheetId="1" r:id="rId1"/>
    <sheet name="ConductivityParameters" sheetId="7" r:id="rId2"/>
  </sheets>
  <functionGroups builtInGroupCount="19"/>
  <definedNames>
    <definedName name="C_SB">'Sample Thermal Model'!$I$3</definedName>
    <definedName name="T_MC">'Sample Thermal Model'!$F$3</definedName>
    <definedName name="T_PTC1">'Sample Thermal Model'!$C$3</definedName>
    <definedName name="T_PTC2">'Sample Thermal Model'!$D$3</definedName>
    <definedName name="T_ROOM">'Sample Thermal Model'!$B$3</definedName>
    <definedName name="T_STILL">'Sample Thermal Model'!$E$3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0" i="1" l="1"/>
  <c r="B64" i="1"/>
  <c r="F63" i="1"/>
  <c r="F70" i="1" s="1"/>
  <c r="D62" i="1"/>
  <c r="D63" i="1" s="1"/>
  <c r="H24" i="1"/>
  <c r="H47" i="1"/>
  <c r="B41" i="1"/>
  <c r="F40" i="1"/>
  <c r="F47" i="1" s="1"/>
  <c r="D39" i="1"/>
  <c r="D40" i="1" s="1"/>
  <c r="B18" i="1"/>
  <c r="B90" i="1"/>
  <c r="B91" i="1" s="1"/>
  <c r="F86" i="1"/>
  <c r="F93" i="1" s="1"/>
  <c r="D85" i="1"/>
  <c r="D86" i="1" s="1"/>
  <c r="B83" i="1"/>
  <c r="B84" i="1" s="1"/>
  <c r="H81" i="1"/>
  <c r="H93" i="1" s="1"/>
  <c r="H92" i="1" s="1"/>
  <c r="F17" i="1"/>
  <c r="F24" i="1" s="1"/>
  <c r="D16" i="1"/>
  <c r="D17" i="1" s="1"/>
  <c r="B70" i="1"/>
  <c r="D70" i="1"/>
  <c r="B24" i="1"/>
  <c r="D47" i="1"/>
  <c r="B47" i="1"/>
  <c r="D24" i="1"/>
  <c r="D93" i="1"/>
  <c r="B93" i="1"/>
  <c r="I24" i="1" l="1"/>
  <c r="B92" i="1"/>
  <c r="D92" i="1"/>
  <c r="F92" i="1"/>
  <c r="I93" i="1" l="1"/>
  <c r="I47" i="1"/>
  <c r="I70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5D62E76-6FA9-43F5-ADEA-9AD478F8CD1B}" keepAlive="1" name="Query - thermal_conductivity_compilation_2024-05-28" description="Connection to the 'thermal_conductivity_compilation_2024-05-28' query in the workbook." type="5" refreshedVersion="8" background="1" saveData="1">
    <dbPr connection="Provider=Microsoft.Mashup.OleDb.1;Data Source=$Workbook$;Location=thermal_conductivity_compilation_2024-05-28;Extended Properties=&quot;&quot;" command="SELECT * FROM [thermal_conductivity_compilation_2024-05-28]"/>
  </connection>
  <connection id="2" xr16:uid="{A93EBE8A-6331-40BF-AD6C-AD0494589C3C}" keepAlive="1" name="Query - thermal_conductivity_compilation_2024-05-28 (2)" description="Connection to the 'thermal_conductivity_compilation_2024-05-28 (2)' query in the workbook." type="5" refreshedVersion="0" background="1">
    <dbPr connection="Provider=Microsoft.Mashup.OleDb.1;Data Source=$Workbook$;Location=&quot;thermal_conductivity_compilation_2024-05-28 (2)&quot;;Extended Properties=&quot;&quot;" command="SELECT * FROM [thermal_conductivity_compilation_2024-05-28 (2)]"/>
  </connection>
</connections>
</file>

<file path=xl/sharedStrings.xml><?xml version="1.0" encoding="utf-8"?>
<sst xmlns="http://schemas.openxmlformats.org/spreadsheetml/2006/main" count="268" uniqueCount="134">
  <si>
    <t>Material</t>
  </si>
  <si>
    <t>SS316</t>
  </si>
  <si>
    <t>A</t>
  </si>
  <si>
    <t>a</t>
  </si>
  <si>
    <t>b</t>
  </si>
  <si>
    <t>c</t>
  </si>
  <si>
    <t>d</t>
  </si>
  <si>
    <t>e</t>
  </si>
  <si>
    <t>f</t>
  </si>
  <si>
    <t>g</t>
  </si>
  <si>
    <t>h</t>
  </si>
  <si>
    <t>i</t>
  </si>
  <si>
    <t>Material Name</t>
  </si>
  <si>
    <t>Fit Type</t>
  </si>
  <si>
    <t>Low Temp</t>
  </si>
  <si>
    <t>High Temp</t>
  </si>
  <si>
    <t>Perc Err</t>
  </si>
  <si>
    <t>B</t>
  </si>
  <si>
    <t>C</t>
  </si>
  <si>
    <t>D</t>
  </si>
  <si>
    <t>1100_20Aluminum</t>
  </si>
  <si>
    <t>NIST-1</t>
  </si>
  <si>
    <t>3003FAluminum</t>
  </si>
  <si>
    <t>5083Aluminum</t>
  </si>
  <si>
    <t>6061_T6Aluminum</t>
  </si>
  <si>
    <t>6063_T5Aluminum</t>
  </si>
  <si>
    <t>Aluminum</t>
  </si>
  <si>
    <t>loglog</t>
  </si>
  <si>
    <t>Aluminum1</t>
  </si>
  <si>
    <t>Balsa</t>
  </si>
  <si>
    <t>beechwood</t>
  </si>
  <si>
    <t>BerylliumCopper</t>
  </si>
  <si>
    <t>Brass</t>
  </si>
  <si>
    <t>CFRP</t>
  </si>
  <si>
    <t>Clearwater</t>
  </si>
  <si>
    <t>DPP</t>
  </si>
  <si>
    <t>Fiberglass</t>
  </si>
  <si>
    <t>G10CRFiberglassEpoxy</t>
  </si>
  <si>
    <t>GlassFabric_Polyester</t>
  </si>
  <si>
    <t>Graphlite</t>
  </si>
  <si>
    <t>Inconel718</t>
  </si>
  <si>
    <t>Invar</t>
  </si>
  <si>
    <t>Ketron</t>
  </si>
  <si>
    <t>kevlarcomposite</t>
  </si>
  <si>
    <t>??</t>
  </si>
  <si>
    <t>kevlarfiber</t>
  </si>
  <si>
    <t>Lead</t>
  </si>
  <si>
    <t>Macor</t>
  </si>
  <si>
    <t>Molybdenum</t>
  </si>
  <si>
    <t>NickelSteel_Fe2.25Ni</t>
  </si>
  <si>
    <t>NickelSteel_Fe3.25Ni</t>
  </si>
  <si>
    <t>NickelSteel_Fe5.0Ni</t>
  </si>
  <si>
    <t>NickelSteel_Fe9.0Ni</t>
  </si>
  <si>
    <t>PET</t>
  </si>
  <si>
    <t>Platinum</t>
  </si>
  <si>
    <t>PlyamideNylon</t>
  </si>
  <si>
    <t>PolyimideKapton</t>
  </si>
  <si>
    <t>polystyrene</t>
  </si>
  <si>
    <t>polyurethane</t>
  </si>
  <si>
    <t>PVC</t>
  </si>
  <si>
    <t>SS304</t>
  </si>
  <si>
    <t>SS304L</t>
  </si>
  <si>
    <t>SS310_lo</t>
  </si>
  <si>
    <t>3 order k/T</t>
  </si>
  <si>
    <t>SS310_hi</t>
  </si>
  <si>
    <t>3 order loglog</t>
  </si>
  <si>
    <t>SS321</t>
  </si>
  <si>
    <t>Steel</t>
  </si>
  <si>
    <t>Teflon</t>
  </si>
  <si>
    <t>Ti6Al4V_lo</t>
  </si>
  <si>
    <t>Ti6Al4V_hi</t>
  </si>
  <si>
    <t>Titanium</t>
  </si>
  <si>
    <t>Torlon</t>
  </si>
  <si>
    <t>VESPEL</t>
  </si>
  <si>
    <t>Wood</t>
  </si>
  <si>
    <t>powerlaw</t>
  </si>
  <si>
    <t>Erf Param</t>
  </si>
  <si>
    <t>Room</t>
  </si>
  <si>
    <t>PTC1</t>
  </si>
  <si>
    <t>PTC2</t>
  </si>
  <si>
    <t>Still</t>
  </si>
  <si>
    <t>MC</t>
  </si>
  <si>
    <t>SBC</t>
  </si>
  <si>
    <t>Globals:</t>
  </si>
  <si>
    <t>Constants</t>
  </si>
  <si>
    <t>Outer Cryostat wall (room temp) and first stage shield (40K)</t>
  </si>
  <si>
    <t>Housekeeping cable</t>
  </si>
  <si>
    <t>Radiation</t>
  </si>
  <si>
    <t>Other</t>
  </si>
  <si>
    <t>material</t>
  </si>
  <si>
    <t>Manganin</t>
  </si>
  <si>
    <t>Sw model #'s</t>
  </si>
  <si>
    <t>Optical</t>
  </si>
  <si>
    <t>Diameter of wire</t>
  </si>
  <si>
    <t>SA Tube</t>
  </si>
  <si>
    <t>Total</t>
  </si>
  <si>
    <t>Length of wire</t>
  </si>
  <si>
    <t>SA Tube End</t>
  </si>
  <si>
    <t>Length of leg</t>
  </si>
  <si>
    <t># of wires</t>
  </si>
  <si>
    <t>SA Chamber Wall</t>
  </si>
  <si>
    <t># of legs</t>
  </si>
  <si>
    <t>SA Chamber Top</t>
  </si>
  <si>
    <t>SA Chamber Bot</t>
  </si>
  <si>
    <t>A/l for legs</t>
  </si>
  <si>
    <t>A/l for cable</t>
  </si>
  <si>
    <t>conversion to meters</t>
  </si>
  <si>
    <t>Total SA</t>
  </si>
  <si>
    <t># Layers MLI</t>
  </si>
  <si>
    <t>Al @ 300 w/ MLI Emissivity</t>
  </si>
  <si>
    <t>Al @ 40 Emissivity</t>
  </si>
  <si>
    <t>Allocation</t>
  </si>
  <si>
    <t>Total:</t>
  </si>
  <si>
    <t>First stage shield (40K) and second stage shield (4K)</t>
  </si>
  <si>
    <t>Second stage shield (4K) and DR still stage (1K)</t>
  </si>
  <si>
    <t>CF support legs</t>
  </si>
  <si>
    <t>Primary Truss</t>
  </si>
  <si>
    <t>Diameter of leg</t>
  </si>
  <si>
    <t>Wall thickness of leg</t>
  </si>
  <si>
    <t>Readout Truss</t>
  </si>
  <si>
    <t>CFLow</t>
  </si>
  <si>
    <t>DR still stage (1K) and DR micing chamber stage (0.1K)</t>
  </si>
  <si>
    <t>Array</t>
  </si>
  <si>
    <t>Detector Arrays</t>
  </si>
  <si>
    <t>For 7 arrays</t>
  </si>
  <si>
    <t>Bluefors LD-400 Example Model</t>
  </si>
  <si>
    <t>Stainless Steel Supports</t>
  </si>
  <si>
    <t>BEST GUESS ON MATERIAL AND DIMENSIONS</t>
  </si>
  <si>
    <t>Outer diameter</t>
  </si>
  <si>
    <t>Inner diameter</t>
  </si>
  <si>
    <t>Stainless tubes</t>
  </si>
  <si>
    <t>PhBr</t>
  </si>
  <si>
    <t xml:space="preserve">Al @ 300 </t>
  </si>
  <si>
    <t>Al @ 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</si>
</sst>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6" formatCode="0\ &quot;K&quot;"/>
    <numFmt numFmtId="167" formatCode="0.0\ &quot;K&quot;"/>
    <numFmt numFmtId="170" formatCode="General\ &quot;cm&quot;"/>
    <numFmt numFmtId="171" formatCode="0.000\ &quot;m&quot;"/>
    <numFmt numFmtId="173" formatCode="General\ &quot;m^2&quot;"/>
    <numFmt numFmtId="174" formatCode="0.000\ &quot;W&quot;"/>
    <numFmt numFmtId="175" formatCode="0.00E+00\ &quot;m&quot;"/>
    <numFmt numFmtId="176" formatCode="General\ &quot;W&quot;"/>
    <numFmt numFmtId="177" formatCode="0.0000\ &quot;W&quot;"/>
    <numFmt numFmtId="178" formatCode="0.000\ &quot;cm&quot;"/>
    <numFmt numFmtId="179" formatCode="0.00E+00\ &quot;cm&quot;"/>
    <numFmt numFmtId="180" formatCode="General\ &quot;cm^2&quot;"/>
    <numFmt numFmtId="181" formatCode="0.00E+00\ &quot;W&quot;"/>
    <numFmt numFmtId="182" formatCode="0.0\ &quot;W&quot;"/>
    <numFmt numFmtId="183" formatCode="&quot;SF:&quot;\ 0.0"/>
  </numFmts>
  <fonts count="12" x14ac:knownFonts="1">
    <font>
      <sz val="11"/>
      <color theme="1"/>
      <name val="Aptos Narrow"/>
      <family val="2"/>
      <scheme val="minor"/>
    </font>
    <font>
      <b/>
      <sz val="16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48"/>
      <name val="Arial"/>
      <family val="2"/>
    </font>
    <font>
      <b/>
      <sz val="12"/>
      <color indexed="10"/>
      <name val="Arial"/>
      <family val="2"/>
    </font>
    <font>
      <b/>
      <sz val="10"/>
      <color rgb="FFFF0000"/>
      <name val="Arial"/>
      <family val="2"/>
    </font>
    <font>
      <sz val="10"/>
      <color rgb="FF3366FF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7C8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2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0" borderId="0" xfId="0" applyAlignment="1">
      <alignment horizontal="center" vertical="center"/>
    </xf>
    <xf numFmtId="11" fontId="0" fillId="0" borderId="0" xfId="0" applyNumberFormat="1"/>
    <xf numFmtId="0" fontId="1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2" fillId="0" borderId="0" xfId="0" applyFont="1"/>
    <xf numFmtId="0" fontId="1" fillId="0" borderId="0" xfId="0" applyFont="1"/>
    <xf numFmtId="0" fontId="3" fillId="0" borderId="0" xfId="0" applyFont="1"/>
    <xf numFmtId="166" fontId="2" fillId="2" borderId="4" xfId="0" applyNumberFormat="1" applyFont="1" applyFill="1" applyBorder="1" applyAlignment="1">
      <alignment horizontal="center"/>
    </xf>
    <xf numFmtId="166" fontId="2" fillId="3" borderId="4" xfId="0" applyNumberFormat="1" applyFont="1" applyFill="1" applyBorder="1" applyAlignment="1">
      <alignment horizontal="center"/>
    </xf>
    <xf numFmtId="167" fontId="2" fillId="4" borderId="4" xfId="0" applyNumberFormat="1" applyFont="1" applyFill="1" applyBorder="1" applyAlignment="1">
      <alignment horizontal="center"/>
    </xf>
    <xf numFmtId="167" fontId="2" fillId="5" borderId="4" xfId="0" applyNumberFormat="1" applyFont="1" applyFill="1" applyBorder="1" applyAlignment="1">
      <alignment horizontal="center"/>
    </xf>
    <xf numFmtId="167" fontId="2" fillId="6" borderId="4" xfId="0" applyNumberFormat="1" applyFont="1" applyFill="1" applyBorder="1" applyAlignment="1">
      <alignment horizontal="center"/>
    </xf>
    <xf numFmtId="11" fontId="2" fillId="0" borderId="4" xfId="0" applyNumberFormat="1" applyFont="1" applyBorder="1"/>
    <xf numFmtId="11" fontId="2" fillId="0" borderId="0" xfId="0" applyNumberFormat="1" applyFont="1"/>
    <xf numFmtId="0" fontId="1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3" fillId="0" borderId="5" xfId="0" applyFont="1" applyBorder="1" applyAlignment="1">
      <alignment horizontal="left"/>
    </xf>
    <xf numFmtId="0" fontId="3" fillId="0" borderId="6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2" fillId="0" borderId="8" xfId="0" applyFont="1" applyBorder="1"/>
    <xf numFmtId="0" fontId="2" fillId="0" borderId="9" xfId="0" applyFont="1" applyBorder="1"/>
    <xf numFmtId="0" fontId="2" fillId="0" borderId="10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2" fillId="0" borderId="11" xfId="0" applyFont="1" applyBorder="1"/>
    <xf numFmtId="0" fontId="5" fillId="0" borderId="12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170" fontId="4" fillId="0" borderId="16" xfId="0" applyNumberFormat="1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170" fontId="4" fillId="0" borderId="19" xfId="0" applyNumberFormat="1" applyFont="1" applyBorder="1" applyAlignment="1">
      <alignment horizontal="center"/>
    </xf>
    <xf numFmtId="173" fontId="4" fillId="0" borderId="19" xfId="0" applyNumberFormat="1" applyFont="1" applyBorder="1" applyAlignment="1">
      <alignment horizontal="center"/>
    </xf>
    <xf numFmtId="173" fontId="8" fillId="0" borderId="18" xfId="0" applyNumberFormat="1" applyFont="1" applyBorder="1" applyAlignment="1">
      <alignment horizontal="center"/>
    </xf>
    <xf numFmtId="174" fontId="7" fillId="0" borderId="19" xfId="0" applyNumberFormat="1" applyFont="1" applyBorder="1" applyAlignment="1">
      <alignment horizontal="center"/>
    </xf>
    <xf numFmtId="0" fontId="2" fillId="0" borderId="18" xfId="0" applyFont="1" applyBorder="1"/>
    <xf numFmtId="0" fontId="2" fillId="0" borderId="19" xfId="0" applyFont="1" applyBorder="1" applyAlignment="1">
      <alignment horizontal="center"/>
    </xf>
    <xf numFmtId="0" fontId="0" fillId="0" borderId="18" xfId="0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0" fillId="0" borderId="18" xfId="0" applyBorder="1"/>
    <xf numFmtId="0" fontId="2" fillId="0" borderId="19" xfId="0" applyFont="1" applyBorder="1"/>
    <xf numFmtId="176" fontId="9" fillId="0" borderId="19" xfId="0" applyNumberFormat="1" applyFont="1" applyBorder="1" applyAlignment="1">
      <alignment horizontal="center"/>
    </xf>
    <xf numFmtId="178" fontId="9" fillId="0" borderId="19" xfId="0" applyNumberFormat="1" applyFont="1" applyBorder="1" applyAlignment="1">
      <alignment horizontal="center"/>
    </xf>
    <xf numFmtId="179" fontId="9" fillId="0" borderId="19" xfId="0" applyNumberFormat="1" applyFont="1" applyBorder="1" applyAlignment="1">
      <alignment horizontal="center"/>
    </xf>
    <xf numFmtId="180" fontId="2" fillId="0" borderId="19" xfId="0" applyNumberFormat="1" applyFont="1" applyBorder="1" applyAlignment="1">
      <alignment horizontal="center"/>
    </xf>
    <xf numFmtId="171" fontId="9" fillId="0" borderId="19" xfId="0" applyNumberFormat="1" applyFont="1" applyBorder="1" applyAlignment="1">
      <alignment horizontal="center"/>
    </xf>
    <xf numFmtId="175" fontId="9" fillId="0" borderId="19" xfId="0" applyNumberFormat="1" applyFont="1" applyBorder="1" applyAlignment="1">
      <alignment horizontal="center"/>
    </xf>
    <xf numFmtId="173" fontId="9" fillId="0" borderId="19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180" fontId="8" fillId="0" borderId="18" xfId="0" applyNumberFormat="1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3" fillId="7" borderId="11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10" fillId="0" borderId="23" xfId="0" applyFont="1" applyBorder="1" applyAlignment="1">
      <alignment horizontal="center"/>
    </xf>
    <xf numFmtId="183" fontId="2" fillId="0" borderId="17" xfId="0" applyNumberFormat="1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181" fontId="2" fillId="9" borderId="25" xfId="0" applyNumberFormat="1" applyFont="1" applyFill="1" applyBorder="1" applyAlignment="1">
      <alignment horizontal="center"/>
    </xf>
    <xf numFmtId="181" fontId="2" fillId="10" borderId="26" xfId="0" applyNumberFormat="1" applyFont="1" applyFill="1" applyBorder="1" applyAlignment="1">
      <alignment horizontal="center"/>
    </xf>
    <xf numFmtId="181" fontId="2" fillId="9" borderId="27" xfId="0" applyNumberFormat="1" applyFont="1" applyFill="1" applyBorder="1" applyAlignment="1">
      <alignment horizontal="center"/>
    </xf>
    <xf numFmtId="181" fontId="2" fillId="10" borderId="22" xfId="0" applyNumberFormat="1" applyFont="1" applyFill="1" applyBorder="1" applyAlignment="1">
      <alignment horizontal="center"/>
    </xf>
    <xf numFmtId="181" fontId="2" fillId="0" borderId="0" xfId="0" applyNumberFormat="1" applyFont="1" applyAlignment="1">
      <alignment horizontal="center"/>
    </xf>
    <xf numFmtId="181" fontId="2" fillId="0" borderId="0" xfId="0" applyNumberFormat="1" applyFont="1"/>
    <xf numFmtId="0" fontId="2" fillId="0" borderId="28" xfId="0" applyFont="1" applyBorder="1" applyAlignment="1">
      <alignment horizontal="center"/>
    </xf>
    <xf numFmtId="170" fontId="4" fillId="0" borderId="17" xfId="0" applyNumberFormat="1" applyFont="1" applyBorder="1" applyAlignment="1">
      <alignment horizontal="center"/>
    </xf>
    <xf numFmtId="173" fontId="4" fillId="0" borderId="0" xfId="0" applyNumberFormat="1" applyFont="1" applyAlignment="1">
      <alignment horizontal="center"/>
    </xf>
    <xf numFmtId="0" fontId="0" fillId="0" borderId="10" xfId="0" applyBorder="1" applyAlignment="1">
      <alignment horizontal="center"/>
    </xf>
    <xf numFmtId="180" fontId="2" fillId="0" borderId="0" xfId="0" applyNumberFormat="1" applyFont="1" applyAlignment="1">
      <alignment horizontal="center"/>
    </xf>
    <xf numFmtId="173" fontId="9" fillId="0" borderId="0" xfId="0" applyNumberFormat="1" applyFont="1" applyAlignment="1">
      <alignment horizontal="center"/>
    </xf>
    <xf numFmtId="174" fontId="3" fillId="7" borderId="29" xfId="0" applyNumberFormat="1" applyFont="1" applyFill="1" applyBorder="1" applyAlignment="1">
      <alignment horizontal="center"/>
    </xf>
    <xf numFmtId="0" fontId="1" fillId="8" borderId="11" xfId="0" applyFont="1" applyFill="1" applyBorder="1" applyAlignment="1">
      <alignment horizontal="left"/>
    </xf>
    <xf numFmtId="174" fontId="1" fillId="8" borderId="29" xfId="0" applyNumberFormat="1" applyFont="1" applyFill="1" applyBorder="1" applyAlignment="1">
      <alignment horizontal="center"/>
    </xf>
    <xf numFmtId="173" fontId="4" fillId="0" borderId="18" xfId="0" applyNumberFormat="1" applyFont="1" applyBorder="1" applyAlignment="1">
      <alignment horizontal="center"/>
    </xf>
    <xf numFmtId="180" fontId="2" fillId="0" borderId="18" xfId="0" applyNumberFormat="1" applyFont="1" applyBorder="1" applyAlignment="1">
      <alignment horizontal="center"/>
    </xf>
    <xf numFmtId="173" fontId="2" fillId="0" borderId="18" xfId="0" applyNumberFormat="1" applyFont="1" applyBorder="1" applyAlignment="1">
      <alignment horizontal="center"/>
    </xf>
    <xf numFmtId="181" fontId="9" fillId="0" borderId="19" xfId="0" applyNumberFormat="1" applyFont="1" applyBorder="1" applyAlignment="1">
      <alignment horizontal="center"/>
    </xf>
    <xf numFmtId="177" fontId="3" fillId="7" borderId="29" xfId="0" applyNumberFormat="1" applyFont="1" applyFill="1" applyBorder="1" applyAlignment="1">
      <alignment horizontal="center"/>
    </xf>
    <xf numFmtId="177" fontId="1" fillId="8" borderId="29" xfId="0" applyNumberFormat="1" applyFont="1" applyFill="1" applyBorder="1" applyAlignment="1">
      <alignment horizontal="center"/>
    </xf>
    <xf numFmtId="181" fontId="0" fillId="0" borderId="0" xfId="0" applyNumberFormat="1"/>
    <xf numFmtId="181" fontId="3" fillId="4" borderId="0" xfId="0" applyNumberFormat="1" applyFont="1" applyFill="1" applyAlignment="1">
      <alignment horizontal="center"/>
    </xf>
    <xf numFmtId="0" fontId="2" fillId="0" borderId="17" xfId="0" applyFont="1" applyBorder="1" applyAlignment="1">
      <alignment horizontal="center"/>
    </xf>
    <xf numFmtId="0" fontId="10" fillId="0" borderId="10" xfId="0" applyFont="1" applyBorder="1"/>
    <xf numFmtId="181" fontId="11" fillId="0" borderId="19" xfId="0" applyNumberFormat="1" applyFont="1" applyBorder="1" applyAlignment="1">
      <alignment horizontal="center"/>
    </xf>
    <xf numFmtId="181" fontId="3" fillId="7" borderId="29" xfId="0" applyNumberFormat="1" applyFont="1" applyFill="1" applyBorder="1" applyAlignment="1">
      <alignment horizontal="center"/>
    </xf>
    <xf numFmtId="181" fontId="1" fillId="8" borderId="29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Border="1"/>
    <xf numFmtId="182" fontId="1" fillId="8" borderId="29" xfId="0" applyNumberFormat="1" applyFont="1" applyFill="1" applyBorder="1" applyAlignment="1">
      <alignment horizontal="center"/>
    </xf>
    <xf numFmtId="181" fontId="2" fillId="9" borderId="4" xfId="0" applyNumberFormat="1" applyFont="1" applyFill="1" applyBorder="1" applyAlignment="1">
      <alignment horizontal="center"/>
    </xf>
    <xf numFmtId="181" fontId="2" fillId="10" borderId="14" xfId="0" applyNumberFormat="1" applyFont="1" applyFill="1" applyBorder="1" applyAlignment="1">
      <alignment horizontal="center"/>
    </xf>
    <xf numFmtId="0" fontId="2" fillId="10" borderId="14" xfId="0" applyNumberFormat="1" applyFont="1" applyFill="1" applyBorder="1" applyAlignment="1">
      <alignment horizontal="center"/>
    </xf>
    <xf numFmtId="181" fontId="2" fillId="10" borderId="30" xfId="0" applyNumberFormat="1" applyFont="1" applyFill="1" applyBorder="1" applyAlignment="1">
      <alignment horizontal="center"/>
    </xf>
    <xf numFmtId="0" fontId="0" fillId="0" borderId="15" xfId="0" applyBorder="1" applyAlignment="1">
      <alignment wrapText="1"/>
    </xf>
    <xf numFmtId="0" fontId="0" fillId="0" borderId="16" xfId="0" applyBorder="1" applyAlignment="1">
      <alignment horizontal="center" vertical="center"/>
    </xf>
    <xf numFmtId="0" fontId="0" fillId="0" borderId="18" xfId="0" applyBorder="1" applyAlignment="1">
      <alignment wrapText="1"/>
    </xf>
    <xf numFmtId="0" fontId="0" fillId="0" borderId="19" xfId="0" applyBorder="1" applyAlignment="1">
      <alignment horizontal="center" vertical="center"/>
    </xf>
    <xf numFmtId="0" fontId="6" fillId="0" borderId="15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175" fontId="2" fillId="10" borderId="14" xfId="0" applyNumberFormat="1" applyFont="1" applyFill="1" applyBorder="1" applyAlignment="1">
      <alignment horizontal="center"/>
    </xf>
    <xf numFmtId="175" fontId="2" fillId="0" borderId="0" xfId="0" applyNumberFormat="1" applyFont="1"/>
    <xf numFmtId="174" fontId="2" fillId="10" borderId="14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5F132-FC07-44CB-A802-43AEED96AED7}">
  <sheetPr codeName="Sheet1"/>
  <dimension ref="A1:I94"/>
  <sheetViews>
    <sheetView tabSelected="1" workbookViewId="0">
      <selection activeCell="M10" sqref="M10"/>
    </sheetView>
  </sheetViews>
  <sheetFormatPr defaultColWidth="8.88671875" defaultRowHeight="14.4" x14ac:dyDescent="0.3"/>
  <cols>
    <col min="1" max="1" width="22.77734375" style="1" customWidth="1"/>
    <col min="2" max="2" width="13.109375" style="1" customWidth="1"/>
    <col min="3" max="3" width="16.88671875" style="1" customWidth="1"/>
    <col min="4" max="4" width="13.6640625" style="1" customWidth="1"/>
    <col min="5" max="5" width="15.88671875" style="1" customWidth="1"/>
    <col min="6" max="6" width="12.88671875" style="1" customWidth="1"/>
    <col min="7" max="7" width="18.6640625" style="1" customWidth="1"/>
    <col min="8" max="8" width="12.77734375" style="1" customWidth="1"/>
    <col min="9" max="9" width="17.6640625" style="1" customWidth="1"/>
    <col min="10" max="16384" width="8.88671875" style="1"/>
  </cols>
  <sheetData>
    <row r="1" spans="1:9" ht="21.6" thickBot="1" x14ac:dyDescent="0.45">
      <c r="A1" s="3" t="s">
        <v>125</v>
      </c>
      <c r="B1" s="4"/>
      <c r="C1" s="4"/>
      <c r="D1" s="5"/>
      <c r="E1" s="6"/>
      <c r="F1" s="6"/>
      <c r="G1" s="6"/>
      <c r="H1" s="6"/>
      <c r="I1" s="6"/>
    </row>
    <row r="2" spans="1:9" ht="21" x14ac:dyDescent="0.4">
      <c r="A2" s="7"/>
      <c r="B2" s="8" t="s">
        <v>77</v>
      </c>
      <c r="C2" s="8" t="s">
        <v>78</v>
      </c>
      <c r="D2" s="8" t="s">
        <v>79</v>
      </c>
      <c r="E2" s="8" t="s">
        <v>80</v>
      </c>
      <c r="F2" s="8" t="s">
        <v>81</v>
      </c>
      <c r="G2" s="8"/>
      <c r="H2" s="6"/>
      <c r="I2" s="8" t="s">
        <v>82</v>
      </c>
    </row>
    <row r="3" spans="1:9" ht="21" x14ac:dyDescent="0.4">
      <c r="A3" s="7" t="s">
        <v>83</v>
      </c>
      <c r="B3" s="9">
        <v>300</v>
      </c>
      <c r="C3" s="10">
        <v>45</v>
      </c>
      <c r="D3" s="11">
        <v>3</v>
      </c>
      <c r="E3" s="12">
        <v>1</v>
      </c>
      <c r="F3" s="13">
        <v>0.11799999999999999</v>
      </c>
      <c r="G3" s="15"/>
      <c r="H3" s="7" t="s">
        <v>84</v>
      </c>
      <c r="I3" s="14">
        <v>5.6703730000000003E-8</v>
      </c>
    </row>
    <row r="4" spans="1:9" ht="21.6" thickBot="1" x14ac:dyDescent="0.45">
      <c r="A4" s="16"/>
      <c r="B4" s="6"/>
      <c r="C4" s="17"/>
      <c r="D4" s="17"/>
      <c r="E4" s="6"/>
      <c r="F4" s="6"/>
      <c r="G4" s="6"/>
      <c r="H4" s="6"/>
      <c r="I4" s="6"/>
    </row>
    <row r="5" spans="1:9" ht="15.6" x14ac:dyDescent="0.3">
      <c r="A5" s="18" t="s">
        <v>85</v>
      </c>
      <c r="B5" s="19"/>
      <c r="C5" s="19"/>
      <c r="D5" s="20"/>
      <c r="E5" s="21"/>
      <c r="F5" s="21"/>
      <c r="G5" s="21"/>
      <c r="H5" s="21"/>
      <c r="I5" s="22"/>
    </row>
    <row r="6" spans="1:9" x14ac:dyDescent="0.25">
      <c r="A6" s="23"/>
      <c r="B6" s="91"/>
      <c r="C6" s="92"/>
      <c r="D6" s="92"/>
      <c r="E6" s="93"/>
      <c r="F6" s="93"/>
      <c r="G6" s="93"/>
      <c r="H6" s="93"/>
      <c r="I6" s="25"/>
    </row>
    <row r="7" spans="1:9" ht="15.6" x14ac:dyDescent="0.3">
      <c r="A7" s="27" t="s">
        <v>126</v>
      </c>
      <c r="B7" s="27"/>
      <c r="C7" s="27" t="s">
        <v>86</v>
      </c>
      <c r="D7" s="27"/>
      <c r="E7" s="27" t="s">
        <v>87</v>
      </c>
      <c r="F7" s="27"/>
      <c r="G7" s="28" t="s">
        <v>88</v>
      </c>
      <c r="H7" s="29"/>
      <c r="I7" s="25"/>
    </row>
    <row r="8" spans="1:9" x14ac:dyDescent="0.25">
      <c r="A8" s="99" t="s">
        <v>127</v>
      </c>
      <c r="B8" s="100"/>
      <c r="C8" s="30" t="s">
        <v>0</v>
      </c>
      <c r="D8" s="31" t="s">
        <v>131</v>
      </c>
      <c r="E8" s="30" t="s">
        <v>91</v>
      </c>
      <c r="F8" s="32"/>
      <c r="G8" s="103"/>
      <c r="H8" s="104"/>
      <c r="I8" s="25"/>
    </row>
    <row r="9" spans="1:9" x14ac:dyDescent="0.25">
      <c r="A9" s="101"/>
      <c r="B9" s="102"/>
      <c r="C9" s="35" t="s">
        <v>93</v>
      </c>
      <c r="D9" s="36">
        <v>1.1176E-2</v>
      </c>
      <c r="E9" s="35" t="s">
        <v>94</v>
      </c>
      <c r="F9" s="37">
        <v>1.67</v>
      </c>
      <c r="G9" s="38"/>
      <c r="H9" s="39"/>
      <c r="I9" s="25"/>
    </row>
    <row r="10" spans="1:9" x14ac:dyDescent="0.3">
      <c r="A10" s="35" t="s">
        <v>89</v>
      </c>
      <c r="B10" t="s">
        <v>60</v>
      </c>
      <c r="C10" s="35" t="s">
        <v>96</v>
      </c>
      <c r="D10" s="36">
        <v>10</v>
      </c>
      <c r="E10" s="35" t="s">
        <v>97</v>
      </c>
      <c r="F10" s="37">
        <v>0.33</v>
      </c>
      <c r="G10" s="33"/>
      <c r="H10" s="34"/>
      <c r="I10" s="25"/>
    </row>
    <row r="11" spans="1:9" x14ac:dyDescent="0.25">
      <c r="A11" s="35" t="s">
        <v>128</v>
      </c>
      <c r="B11" s="36">
        <v>1.5</v>
      </c>
      <c r="C11" s="35" t="s">
        <v>99</v>
      </c>
      <c r="D11" s="43">
        <v>50</v>
      </c>
      <c r="E11" s="35" t="s">
        <v>100</v>
      </c>
      <c r="F11" s="37">
        <v>2.5</v>
      </c>
      <c r="G11" s="35"/>
      <c r="H11" s="44"/>
      <c r="I11" s="25"/>
    </row>
    <row r="12" spans="1:9" x14ac:dyDescent="0.25">
      <c r="A12" s="35" t="s">
        <v>129</v>
      </c>
      <c r="B12" s="36">
        <v>1.4</v>
      </c>
      <c r="C12" s="35"/>
      <c r="D12" s="46"/>
      <c r="E12" s="35" t="s">
        <v>102</v>
      </c>
      <c r="F12" s="37">
        <v>0.75</v>
      </c>
      <c r="G12" s="35"/>
      <c r="H12" s="47"/>
      <c r="I12" s="25"/>
    </row>
    <row r="13" spans="1:9" x14ac:dyDescent="0.3">
      <c r="A13" s="42" t="s">
        <v>98</v>
      </c>
      <c r="B13" s="36">
        <v>20</v>
      </c>
      <c r="C13" s="35"/>
      <c r="D13" s="46"/>
      <c r="E13" s="35" t="s">
        <v>103</v>
      </c>
      <c r="F13" s="37">
        <v>1.47</v>
      </c>
      <c r="G13" s="35"/>
      <c r="H13" s="47"/>
      <c r="I13" s="25"/>
    </row>
    <row r="14" spans="1:9" x14ac:dyDescent="0.3">
      <c r="A14" s="42" t="s">
        <v>101</v>
      </c>
      <c r="B14" s="43">
        <v>4</v>
      </c>
      <c r="C14" s="35"/>
      <c r="D14" s="41"/>
      <c r="E14" s="40"/>
      <c r="F14" s="46"/>
      <c r="G14" s="33"/>
      <c r="H14" s="34"/>
      <c r="I14" s="25"/>
    </row>
    <row r="15" spans="1:9" x14ac:dyDescent="0.25">
      <c r="A15" s="40"/>
      <c r="B15" s="46"/>
      <c r="C15" s="35"/>
      <c r="D15" s="41"/>
      <c r="E15" s="40"/>
      <c r="F15" s="46"/>
      <c r="G15" s="35"/>
      <c r="H15" s="44"/>
      <c r="I15" s="25"/>
    </row>
    <row r="16" spans="1:9" x14ac:dyDescent="0.25">
      <c r="A16" s="40"/>
      <c r="B16" s="46"/>
      <c r="C16" s="35" t="s">
        <v>105</v>
      </c>
      <c r="D16" s="49">
        <f>D11*PI()*(D9/2)^2/D10</f>
        <v>4.9049283976637789E-4</v>
      </c>
      <c r="E16" s="35"/>
      <c r="F16" s="50"/>
      <c r="G16" s="35"/>
      <c r="H16" s="47"/>
      <c r="I16" s="25"/>
    </row>
    <row r="17" spans="1:9" x14ac:dyDescent="0.3">
      <c r="A17" s="40" t="s">
        <v>130</v>
      </c>
      <c r="B17" s="46"/>
      <c r="C17" s="35" t="s">
        <v>106</v>
      </c>
      <c r="D17" s="52">
        <f>0.01*D16</f>
        <v>4.9049283976637789E-6</v>
      </c>
      <c r="E17" s="35" t="s">
        <v>107</v>
      </c>
      <c r="F17" s="53">
        <f>SUM(F9:F13)</f>
        <v>6.72</v>
      </c>
      <c r="G17" s="45"/>
      <c r="H17" s="44"/>
      <c r="I17" s="25"/>
    </row>
    <row r="18" spans="1:9" x14ac:dyDescent="0.25">
      <c r="A18" s="35" t="s">
        <v>104</v>
      </c>
      <c r="B18" s="52">
        <f>PI()*(B11^2-B12^2)/B13/100</f>
        <v>4.5553093477052037E-4</v>
      </c>
      <c r="C18" s="40"/>
      <c r="D18" s="46"/>
      <c r="E18" s="40"/>
      <c r="F18" s="44"/>
      <c r="G18" s="35"/>
      <c r="H18" s="47"/>
      <c r="I18" s="25"/>
    </row>
    <row r="19" spans="1:9" x14ac:dyDescent="0.25">
      <c r="A19" s="35"/>
      <c r="B19" s="51"/>
      <c r="C19" s="40"/>
      <c r="D19" s="46"/>
      <c r="E19" s="40"/>
      <c r="F19" s="44"/>
      <c r="G19" s="33"/>
      <c r="H19" s="34"/>
      <c r="I19" s="25"/>
    </row>
    <row r="20" spans="1:9" x14ac:dyDescent="0.3">
      <c r="A20" s="40"/>
      <c r="B20" s="46"/>
      <c r="C20" s="40"/>
      <c r="D20" s="46"/>
      <c r="E20" s="45" t="s">
        <v>132</v>
      </c>
      <c r="F20" s="44">
        <v>0.03</v>
      </c>
      <c r="G20" s="55"/>
      <c r="H20" s="39"/>
      <c r="I20" s="25"/>
    </row>
    <row r="21" spans="1:9" x14ac:dyDescent="0.3">
      <c r="A21" s="40"/>
      <c r="B21" s="46"/>
      <c r="C21" s="40"/>
      <c r="D21" s="46"/>
      <c r="E21" s="45" t="s">
        <v>133</v>
      </c>
      <c r="F21" s="44">
        <v>0.03</v>
      </c>
      <c r="G21" s="56"/>
      <c r="H21" s="39"/>
      <c r="I21" s="25"/>
    </row>
    <row r="22" spans="1:9" x14ac:dyDescent="0.25">
      <c r="A22" s="40"/>
      <c r="B22" s="46"/>
      <c r="C22" s="40"/>
      <c r="D22" s="46"/>
      <c r="E22" s="40"/>
      <c r="F22" s="46"/>
      <c r="G22" s="56"/>
      <c r="H22" s="36"/>
      <c r="I22" s="25"/>
    </row>
    <row r="23" spans="1:9" ht="21" x14ac:dyDescent="0.4">
      <c r="A23" s="58"/>
      <c r="B23" s="59"/>
      <c r="C23" s="58"/>
      <c r="D23" s="59"/>
      <c r="E23" s="58"/>
      <c r="F23" s="59"/>
      <c r="G23" s="58"/>
      <c r="H23" s="59"/>
      <c r="I23" s="76" t="s">
        <v>112</v>
      </c>
    </row>
    <row r="24" spans="1:9" ht="21.6" thickBot="1" x14ac:dyDescent="0.45">
      <c r="A24" s="95"/>
      <c r="B24" s="107">
        <f>B18*ConInt(B10,T_ROOM,T_PTC1)</f>
        <v>1.3208224473759944</v>
      </c>
      <c r="C24" s="95"/>
      <c r="D24" s="97" t="e">
        <f>D17*ConInt(D8,T_ROOM,T_PTC1)</f>
        <v>#VALUE!</v>
      </c>
      <c r="E24" s="95"/>
      <c r="F24" s="98">
        <f>F17*C_SB*(T_ROOM^4-T_PTC1^4)/(1/F20+1/F21-1)</f>
        <v>46.978703939624985</v>
      </c>
      <c r="G24" s="95"/>
      <c r="H24" s="96">
        <f>H9+H13+H18+H20</f>
        <v>0</v>
      </c>
      <c r="I24" s="94" t="e">
        <f>SUM(F24,#REF!,#REF!, D24,B24,H24,#REF!)</f>
        <v>#REF!</v>
      </c>
    </row>
    <row r="25" spans="1:9" x14ac:dyDescent="0.3">
      <c r="A25" s="6"/>
      <c r="B25" s="106"/>
      <c r="C25" s="17"/>
      <c r="D25" s="17"/>
      <c r="E25" s="6"/>
      <c r="F25" s="6"/>
      <c r="G25" s="6"/>
      <c r="H25" s="6"/>
      <c r="I25"/>
    </row>
    <row r="26" spans="1:9" x14ac:dyDescent="0.25">
      <c r="A26" s="6"/>
      <c r="B26" s="6"/>
      <c r="C26" s="17"/>
      <c r="D26" s="17"/>
      <c r="E26" s="6"/>
      <c r="F26" s="6"/>
      <c r="G26" s="6"/>
      <c r="H26" s="68"/>
      <c r="I26" s="6"/>
    </row>
    <row r="27" spans="1:9" ht="15" thickBot="1" x14ac:dyDescent="0.3">
      <c r="A27" s="6"/>
      <c r="B27" s="6"/>
      <c r="C27" s="6"/>
      <c r="D27" s="17"/>
      <c r="E27" s="6"/>
      <c r="F27" s="6"/>
      <c r="G27" s="6"/>
      <c r="H27" s="6"/>
      <c r="I27" s="6"/>
    </row>
    <row r="28" spans="1:9" ht="15.6" x14ac:dyDescent="0.3">
      <c r="A28" s="18" t="s">
        <v>113</v>
      </c>
      <c r="B28" s="19"/>
      <c r="C28" s="19"/>
      <c r="D28" s="20"/>
      <c r="E28" s="21"/>
      <c r="F28" s="21"/>
      <c r="G28" s="21"/>
      <c r="H28" s="21"/>
      <c r="I28" s="22"/>
    </row>
    <row r="29" spans="1:9" x14ac:dyDescent="0.25">
      <c r="A29" s="23"/>
      <c r="B29" s="24"/>
      <c r="C29" s="17"/>
      <c r="D29" s="17"/>
      <c r="E29" s="6"/>
      <c r="F29" s="6"/>
      <c r="G29" s="6"/>
      <c r="H29" s="6"/>
      <c r="I29" s="25"/>
    </row>
    <row r="30" spans="1:9" ht="15.6" x14ac:dyDescent="0.3">
      <c r="A30" s="27" t="s">
        <v>126</v>
      </c>
      <c r="B30" s="27"/>
      <c r="C30" s="27" t="s">
        <v>86</v>
      </c>
      <c r="D30" s="27"/>
      <c r="E30" s="27" t="s">
        <v>87</v>
      </c>
      <c r="F30" s="27"/>
      <c r="G30" s="28" t="s">
        <v>88</v>
      </c>
      <c r="H30" s="29"/>
      <c r="I30" s="25"/>
    </row>
    <row r="31" spans="1:9" x14ac:dyDescent="0.25">
      <c r="A31" s="99" t="s">
        <v>127</v>
      </c>
      <c r="B31" s="100"/>
      <c r="C31" s="30" t="s">
        <v>0</v>
      </c>
      <c r="D31" s="31" t="s">
        <v>131</v>
      </c>
      <c r="E31" s="30" t="s">
        <v>91</v>
      </c>
      <c r="F31" s="32"/>
      <c r="G31" s="103"/>
      <c r="H31" s="104"/>
      <c r="I31" s="25"/>
    </row>
    <row r="32" spans="1:9" x14ac:dyDescent="0.25">
      <c r="A32" s="101"/>
      <c r="B32" s="102"/>
      <c r="C32" s="35" t="s">
        <v>93</v>
      </c>
      <c r="D32" s="36">
        <v>1.1176E-2</v>
      </c>
      <c r="E32" s="35" t="s">
        <v>94</v>
      </c>
      <c r="F32" s="37">
        <v>1.67</v>
      </c>
      <c r="G32" s="38"/>
      <c r="H32" s="39"/>
      <c r="I32" s="25"/>
    </row>
    <row r="33" spans="1:9" x14ac:dyDescent="0.3">
      <c r="A33" s="35" t="s">
        <v>89</v>
      </c>
      <c r="B33" t="s">
        <v>60</v>
      </c>
      <c r="C33" s="35" t="s">
        <v>96</v>
      </c>
      <c r="D33" s="36">
        <v>10</v>
      </c>
      <c r="E33" s="35" t="s">
        <v>97</v>
      </c>
      <c r="F33" s="37">
        <v>0.33</v>
      </c>
      <c r="G33" s="33"/>
      <c r="H33" s="34"/>
      <c r="I33" s="25"/>
    </row>
    <row r="34" spans="1:9" x14ac:dyDescent="0.25">
      <c r="A34" s="35" t="s">
        <v>128</v>
      </c>
      <c r="B34" s="36">
        <v>1.5</v>
      </c>
      <c r="C34" s="35" t="s">
        <v>99</v>
      </c>
      <c r="D34" s="43">
        <v>50</v>
      </c>
      <c r="E34" s="35" t="s">
        <v>100</v>
      </c>
      <c r="F34" s="37">
        <v>2.5</v>
      </c>
      <c r="G34" s="35"/>
      <c r="H34" s="44"/>
      <c r="I34" s="25"/>
    </row>
    <row r="35" spans="1:9" x14ac:dyDescent="0.25">
      <c r="A35" s="35" t="s">
        <v>129</v>
      </c>
      <c r="B35" s="36">
        <v>1.4</v>
      </c>
      <c r="C35" s="35"/>
      <c r="D35" s="46"/>
      <c r="E35" s="35" t="s">
        <v>102</v>
      </c>
      <c r="F35" s="37">
        <v>0.75</v>
      </c>
      <c r="G35" s="35"/>
      <c r="H35" s="47"/>
      <c r="I35" s="25"/>
    </row>
    <row r="36" spans="1:9" x14ac:dyDescent="0.3">
      <c r="A36" s="42" t="s">
        <v>98</v>
      </c>
      <c r="B36" s="36">
        <v>20</v>
      </c>
      <c r="C36" s="35"/>
      <c r="D36" s="46"/>
      <c r="E36" s="35" t="s">
        <v>103</v>
      </c>
      <c r="F36" s="37">
        <v>1.47</v>
      </c>
      <c r="G36" s="35"/>
      <c r="H36" s="47"/>
      <c r="I36" s="25"/>
    </row>
    <row r="37" spans="1:9" x14ac:dyDescent="0.3">
      <c r="A37" s="42" t="s">
        <v>101</v>
      </c>
      <c r="B37" s="43">
        <v>4</v>
      </c>
      <c r="C37" s="35"/>
      <c r="D37" s="41"/>
      <c r="E37" s="40"/>
      <c r="F37" s="46"/>
      <c r="G37" s="33"/>
      <c r="H37" s="34"/>
      <c r="I37" s="25"/>
    </row>
    <row r="38" spans="1:9" x14ac:dyDescent="0.25">
      <c r="A38" s="40"/>
      <c r="B38" s="46"/>
      <c r="C38" s="35"/>
      <c r="D38" s="41"/>
      <c r="E38" s="40"/>
      <c r="F38" s="46"/>
      <c r="G38" s="35"/>
      <c r="H38" s="44"/>
      <c r="I38" s="25"/>
    </row>
    <row r="39" spans="1:9" x14ac:dyDescent="0.25">
      <c r="A39" s="40"/>
      <c r="B39" s="46"/>
      <c r="C39" s="35" t="s">
        <v>105</v>
      </c>
      <c r="D39" s="49">
        <f>D34*PI()*(D32/2)^2/D33</f>
        <v>4.9049283976637789E-4</v>
      </c>
      <c r="E39" s="35"/>
      <c r="F39" s="50"/>
      <c r="G39" s="35"/>
      <c r="H39" s="47"/>
      <c r="I39" s="25"/>
    </row>
    <row r="40" spans="1:9" x14ac:dyDescent="0.3">
      <c r="A40" s="40" t="s">
        <v>130</v>
      </c>
      <c r="B40" s="46"/>
      <c r="C40" s="35" t="s">
        <v>106</v>
      </c>
      <c r="D40" s="52">
        <f>0.01*D39</f>
        <v>4.9049283976637789E-6</v>
      </c>
      <c r="E40" s="35" t="s">
        <v>107</v>
      </c>
      <c r="F40" s="53">
        <f>SUM(F32:F36)</f>
        <v>6.72</v>
      </c>
      <c r="G40" s="45"/>
      <c r="H40" s="44"/>
      <c r="I40" s="25"/>
    </row>
    <row r="41" spans="1:9" x14ac:dyDescent="0.25">
      <c r="A41" s="35" t="s">
        <v>104</v>
      </c>
      <c r="B41" s="52">
        <f>PI()*(B34^2-B35^2)/B36/100</f>
        <v>4.5553093477052037E-4</v>
      </c>
      <c r="C41" s="40"/>
      <c r="D41" s="46"/>
      <c r="E41" s="40"/>
      <c r="F41" s="44"/>
      <c r="G41" s="35"/>
      <c r="H41" s="47"/>
      <c r="I41" s="25"/>
    </row>
    <row r="42" spans="1:9" x14ac:dyDescent="0.25">
      <c r="A42" s="35"/>
      <c r="B42" s="51"/>
      <c r="C42" s="40"/>
      <c r="D42" s="46"/>
      <c r="E42" s="40"/>
      <c r="F42" s="44"/>
      <c r="G42" s="33"/>
      <c r="H42" s="34"/>
      <c r="I42" s="25"/>
    </row>
    <row r="43" spans="1:9" x14ac:dyDescent="0.3">
      <c r="A43" s="40"/>
      <c r="B43" s="46"/>
      <c r="C43" s="40"/>
      <c r="D43" s="46"/>
      <c r="E43" s="45" t="s">
        <v>132</v>
      </c>
      <c r="F43" s="44">
        <v>0.03</v>
      </c>
      <c r="G43" s="55"/>
      <c r="H43" s="39"/>
      <c r="I43" s="25"/>
    </row>
    <row r="44" spans="1:9" ht="15.6" x14ac:dyDescent="0.3">
      <c r="A44" s="40"/>
      <c r="B44" s="46"/>
      <c r="C44" s="40"/>
      <c r="D44" s="46"/>
      <c r="E44" s="45" t="s">
        <v>133</v>
      </c>
      <c r="F44" s="44">
        <v>0.03</v>
      </c>
      <c r="G44" s="56"/>
      <c r="H44" s="39"/>
      <c r="I44" s="57"/>
    </row>
    <row r="45" spans="1:9" ht="16.2" thickBot="1" x14ac:dyDescent="0.35">
      <c r="A45" s="40"/>
      <c r="B45" s="46"/>
      <c r="C45" s="40"/>
      <c r="D45" s="46"/>
      <c r="E45" s="40"/>
      <c r="F45" s="46"/>
      <c r="G45" s="56"/>
      <c r="H45" s="36"/>
      <c r="I45" s="75"/>
    </row>
    <row r="46" spans="1:9" ht="21" x14ac:dyDescent="0.4">
      <c r="A46" s="58"/>
      <c r="B46" s="59"/>
      <c r="C46" s="58"/>
      <c r="D46" s="59"/>
      <c r="E46" s="58"/>
      <c r="F46" s="59"/>
      <c r="G46" s="58"/>
      <c r="H46" s="59"/>
      <c r="I46" s="76" t="s">
        <v>112</v>
      </c>
    </row>
    <row r="47" spans="1:9" ht="21.6" thickBot="1" x14ac:dyDescent="0.45">
      <c r="A47" s="95"/>
      <c r="B47" s="107">
        <f>B41*ConInt(B33,T_PTC1,T_PTC2)</f>
        <v>5.3877617765580338E-2</v>
      </c>
      <c r="C47" s="95"/>
      <c r="D47" s="105" t="e">
        <f>D40*ConInt(D31,T_PTC1,T_PTC2)</f>
        <v>#VALUE!</v>
      </c>
      <c r="E47" s="95"/>
      <c r="F47" s="98">
        <f>F40*C_SB*(T_PTC1^4-T_PTC2^4)/(1/F43+1/F44-1)</f>
        <v>2.3794545070837864E-2</v>
      </c>
      <c r="G47" s="95"/>
      <c r="H47" s="96" t="e">
        <f>H32+H36+H41+H43+#REF!</f>
        <v>#REF!</v>
      </c>
      <c r="I47" s="77" t="e">
        <f>SUM(F47,#REF!,#REF!, D47,B47,H47,#REF!)</f>
        <v>#REF!</v>
      </c>
    </row>
    <row r="48" spans="1:9" x14ac:dyDescent="0.3">
      <c r="A48" s="6"/>
      <c r="B48" s="6"/>
      <c r="C48" s="17"/>
      <c r="D48" s="17"/>
      <c r="E48" s="6"/>
      <c r="F48" s="6"/>
      <c r="G48" s="6"/>
      <c r="H48" s="6"/>
      <c r="I48"/>
    </row>
    <row r="49" spans="1:9" x14ac:dyDescent="0.3">
      <c r="A49" s="6"/>
      <c r="B49" s="6"/>
      <c r="C49" s="17"/>
      <c r="D49" s="67"/>
      <c r="E49" s="6"/>
      <c r="F49" s="6"/>
      <c r="G49" s="6"/>
      <c r="H49" s="6"/>
      <c r="I49"/>
    </row>
    <row r="50" spans="1:9" ht="15" thickBot="1" x14ac:dyDescent="0.3">
      <c r="A50" s="6"/>
      <c r="B50" s="6"/>
      <c r="C50" s="17"/>
      <c r="D50" s="6"/>
      <c r="E50" s="6"/>
      <c r="F50" s="6"/>
      <c r="G50" s="6"/>
      <c r="H50" s="6"/>
      <c r="I50" s="6"/>
    </row>
    <row r="51" spans="1:9" ht="15.6" x14ac:dyDescent="0.3">
      <c r="A51" s="18" t="s">
        <v>114</v>
      </c>
      <c r="B51" s="19"/>
      <c r="C51" s="19"/>
      <c r="D51" s="20"/>
      <c r="E51" s="21"/>
      <c r="F51" s="21"/>
      <c r="G51" s="21"/>
      <c r="H51" s="21"/>
      <c r="I51" s="22"/>
    </row>
    <row r="52" spans="1:9" x14ac:dyDescent="0.25">
      <c r="A52" s="23"/>
      <c r="B52" s="24"/>
      <c r="C52" s="17"/>
      <c r="D52" s="17"/>
      <c r="E52" s="6"/>
      <c r="F52" s="6"/>
      <c r="G52" s="6"/>
      <c r="H52" s="6"/>
      <c r="I52" s="25"/>
    </row>
    <row r="53" spans="1:9" ht="14.4" customHeight="1" x14ac:dyDescent="0.3">
      <c r="A53" s="27" t="s">
        <v>126</v>
      </c>
      <c r="B53" s="27"/>
      <c r="C53" s="27" t="s">
        <v>86</v>
      </c>
      <c r="D53" s="27"/>
      <c r="E53" s="27" t="s">
        <v>87</v>
      </c>
      <c r="F53" s="27"/>
      <c r="G53" s="28" t="s">
        <v>88</v>
      </c>
      <c r="H53" s="29"/>
      <c r="I53" s="25"/>
    </row>
    <row r="54" spans="1:9" x14ac:dyDescent="0.25">
      <c r="A54" s="99" t="s">
        <v>127</v>
      </c>
      <c r="B54" s="100"/>
      <c r="C54" s="30" t="s">
        <v>0</v>
      </c>
      <c r="D54" s="31" t="s">
        <v>131</v>
      </c>
      <c r="E54" s="30" t="s">
        <v>91</v>
      </c>
      <c r="F54" s="32"/>
      <c r="G54" s="103"/>
      <c r="H54" s="104"/>
      <c r="I54" s="25"/>
    </row>
    <row r="55" spans="1:9" x14ac:dyDescent="0.25">
      <c r="A55" s="101"/>
      <c r="B55" s="102"/>
      <c r="C55" s="35" t="s">
        <v>93</v>
      </c>
      <c r="D55" s="36">
        <v>1.1176E-2</v>
      </c>
      <c r="E55" s="35" t="s">
        <v>94</v>
      </c>
      <c r="F55" s="37">
        <v>1.67</v>
      </c>
      <c r="G55" s="38"/>
      <c r="H55" s="39"/>
      <c r="I55" s="25"/>
    </row>
    <row r="56" spans="1:9" x14ac:dyDescent="0.3">
      <c r="A56" s="35" t="s">
        <v>89</v>
      </c>
      <c r="B56" t="s">
        <v>60</v>
      </c>
      <c r="C56" s="35" t="s">
        <v>96</v>
      </c>
      <c r="D56" s="36">
        <v>10</v>
      </c>
      <c r="E56" s="35" t="s">
        <v>97</v>
      </c>
      <c r="F56" s="37">
        <v>0.33</v>
      </c>
      <c r="G56" s="33"/>
      <c r="H56" s="34"/>
      <c r="I56" s="25"/>
    </row>
    <row r="57" spans="1:9" x14ac:dyDescent="0.25">
      <c r="A57" s="35" t="s">
        <v>128</v>
      </c>
      <c r="B57" s="36">
        <v>1.5</v>
      </c>
      <c r="C57" s="35" t="s">
        <v>99</v>
      </c>
      <c r="D57" s="43">
        <v>50</v>
      </c>
      <c r="E57" s="35" t="s">
        <v>100</v>
      </c>
      <c r="F57" s="37">
        <v>2.5</v>
      </c>
      <c r="G57" s="35"/>
      <c r="H57" s="44"/>
      <c r="I57" s="25"/>
    </row>
    <row r="58" spans="1:9" x14ac:dyDescent="0.25">
      <c r="A58" s="35" t="s">
        <v>129</v>
      </c>
      <c r="B58" s="36">
        <v>1.4</v>
      </c>
      <c r="C58" s="35"/>
      <c r="D58" s="46"/>
      <c r="E58" s="35" t="s">
        <v>102</v>
      </c>
      <c r="F58" s="37">
        <v>0.75</v>
      </c>
      <c r="G58" s="35"/>
      <c r="H58" s="47"/>
      <c r="I58" s="25"/>
    </row>
    <row r="59" spans="1:9" x14ac:dyDescent="0.3">
      <c r="A59" s="42" t="s">
        <v>98</v>
      </c>
      <c r="B59" s="36">
        <v>20</v>
      </c>
      <c r="C59" s="35"/>
      <c r="D59" s="46"/>
      <c r="E59" s="35" t="s">
        <v>103</v>
      </c>
      <c r="F59" s="37">
        <v>1.47</v>
      </c>
      <c r="G59" s="35"/>
      <c r="H59" s="47"/>
      <c r="I59" s="25"/>
    </row>
    <row r="60" spans="1:9" x14ac:dyDescent="0.3">
      <c r="A60" s="42" t="s">
        <v>101</v>
      </c>
      <c r="B60" s="43">
        <v>4</v>
      </c>
      <c r="C60" s="35"/>
      <c r="D60" s="41"/>
      <c r="E60" s="40"/>
      <c r="F60" s="46"/>
      <c r="G60" s="33"/>
      <c r="H60" s="34"/>
      <c r="I60" s="25"/>
    </row>
    <row r="61" spans="1:9" x14ac:dyDescent="0.25">
      <c r="A61" s="40"/>
      <c r="B61" s="46"/>
      <c r="C61" s="35"/>
      <c r="D61" s="41"/>
      <c r="E61" s="40"/>
      <c r="F61" s="46"/>
      <c r="G61" s="35"/>
      <c r="H61" s="44"/>
      <c r="I61" s="25"/>
    </row>
    <row r="62" spans="1:9" x14ac:dyDescent="0.25">
      <c r="A62" s="40"/>
      <c r="B62" s="46"/>
      <c r="C62" s="35" t="s">
        <v>105</v>
      </c>
      <c r="D62" s="49">
        <f>D57*PI()*(D55/2)^2/D56</f>
        <v>4.9049283976637789E-4</v>
      </c>
      <c r="E62" s="35"/>
      <c r="F62" s="50"/>
      <c r="G62" s="35"/>
      <c r="H62" s="47"/>
      <c r="I62" s="25"/>
    </row>
    <row r="63" spans="1:9" x14ac:dyDescent="0.3">
      <c r="A63" s="40" t="s">
        <v>130</v>
      </c>
      <c r="B63" s="46"/>
      <c r="C63" s="35" t="s">
        <v>106</v>
      </c>
      <c r="D63" s="52">
        <f>0.01*D62</f>
        <v>4.9049283976637789E-6</v>
      </c>
      <c r="E63" s="35" t="s">
        <v>107</v>
      </c>
      <c r="F63" s="53">
        <f>SUM(F55:F59)</f>
        <v>6.72</v>
      </c>
      <c r="G63" s="45"/>
      <c r="H63" s="44"/>
      <c r="I63" s="25"/>
    </row>
    <row r="64" spans="1:9" x14ac:dyDescent="0.25">
      <c r="A64" s="35" t="s">
        <v>104</v>
      </c>
      <c r="B64" s="52">
        <f>PI()*(B57^2-B58^2)/B59/100</f>
        <v>4.5553093477052037E-4</v>
      </c>
      <c r="C64" s="40"/>
      <c r="D64" s="46"/>
      <c r="E64" s="40"/>
      <c r="F64" s="44"/>
      <c r="G64" s="35"/>
      <c r="H64" s="47"/>
      <c r="I64" s="25"/>
    </row>
    <row r="65" spans="1:9" x14ac:dyDescent="0.25">
      <c r="A65" s="35"/>
      <c r="B65" s="51"/>
      <c r="C65" s="40"/>
      <c r="D65" s="46"/>
      <c r="E65" s="40"/>
      <c r="F65" s="44"/>
      <c r="G65" s="33"/>
      <c r="H65" s="34"/>
      <c r="I65" s="25"/>
    </row>
    <row r="66" spans="1:9" x14ac:dyDescent="0.3">
      <c r="A66" s="40"/>
      <c r="B66" s="46"/>
      <c r="C66" s="40"/>
      <c r="D66" s="46"/>
      <c r="E66" s="45" t="s">
        <v>132</v>
      </c>
      <c r="F66" s="44">
        <v>0.03</v>
      </c>
      <c r="G66" s="55"/>
      <c r="H66" s="39"/>
      <c r="I66" s="6"/>
    </row>
    <row r="67" spans="1:9" ht="15.6" x14ac:dyDescent="0.3">
      <c r="A67" s="40"/>
      <c r="B67" s="46"/>
      <c r="C67" s="40"/>
      <c r="D67" s="46"/>
      <c r="E67" s="45" t="s">
        <v>133</v>
      </c>
      <c r="F67" s="44">
        <v>0.03</v>
      </c>
      <c r="G67" s="56"/>
      <c r="H67" s="39"/>
      <c r="I67" s="57"/>
    </row>
    <row r="68" spans="1:9" ht="16.2" thickBot="1" x14ac:dyDescent="0.35">
      <c r="A68" s="40"/>
      <c r="B68" s="46"/>
      <c r="C68" s="40"/>
      <c r="D68" s="46"/>
      <c r="E68" s="40"/>
      <c r="F68" s="46"/>
      <c r="G68" s="56"/>
      <c r="H68" s="36"/>
      <c r="I68" s="82"/>
    </row>
    <row r="69" spans="1:9" ht="21" x14ac:dyDescent="0.4">
      <c r="A69" s="58"/>
      <c r="B69" s="59"/>
      <c r="C69" s="58"/>
      <c r="D69" s="59"/>
      <c r="E69" s="58"/>
      <c r="F69" s="59"/>
      <c r="G69" s="58"/>
      <c r="H69" s="59"/>
      <c r="I69" s="76" t="s">
        <v>112</v>
      </c>
    </row>
    <row r="70" spans="1:9" ht="21.6" thickBot="1" x14ac:dyDescent="0.45">
      <c r="A70" s="95"/>
      <c r="B70" s="107">
        <f>B64*ConInt(B56,T_PTC1,T_PTC2)</f>
        <v>5.3877617765580338E-2</v>
      </c>
      <c r="C70" s="95"/>
      <c r="D70" s="105" t="e">
        <f>D63*ConInt(D54,T_PTC1,T_PTC2)</f>
        <v>#VALUE!</v>
      </c>
      <c r="E70" s="95"/>
      <c r="F70" s="98">
        <f>F63*C_SB*(T_PTC1^4-T_PTC2^4)/(1/F66+1/F67-1)</f>
        <v>2.3794545070837864E-2</v>
      </c>
      <c r="G70" s="95"/>
      <c r="H70" s="96" t="e">
        <f>H55+H59+H64+H66+#REF!</f>
        <v>#REF!</v>
      </c>
      <c r="I70" s="83" t="e">
        <f>SUM(F70,#REF!,#REF!, D70,B70,H70,#REF!)</f>
        <v>#REF!</v>
      </c>
    </row>
    <row r="71" spans="1:9" x14ac:dyDescent="0.3">
      <c r="A71" s="17"/>
      <c r="B71" s="67"/>
      <c r="C71" s="84"/>
      <c r="D71"/>
      <c r="E71"/>
      <c r="F71"/>
      <c r="G71"/>
      <c r="H71"/>
      <c r="I71"/>
    </row>
    <row r="72" spans="1:9" x14ac:dyDescent="0.3">
      <c r="A72" s="17"/>
      <c r="B72" s="67"/>
      <c r="C72" s="84"/>
      <c r="D72"/>
      <c r="E72"/>
      <c r="F72"/>
      <c r="G72"/>
      <c r="H72"/>
      <c r="I72"/>
    </row>
    <row r="73" spans="1:9" ht="15" thickBot="1" x14ac:dyDescent="0.35">
      <c r="A73" s="17"/>
      <c r="B73" s="67"/>
      <c r="C73"/>
      <c r="D73"/>
      <c r="E73"/>
      <c r="F73"/>
      <c r="G73"/>
      <c r="H73"/>
      <c r="I73"/>
    </row>
    <row r="74" spans="1:9" ht="15.6" x14ac:dyDescent="0.3">
      <c r="A74" s="18" t="s">
        <v>121</v>
      </c>
      <c r="B74" s="19"/>
      <c r="C74" s="19"/>
      <c r="D74" s="20"/>
      <c r="E74" s="21"/>
      <c r="F74" s="21"/>
      <c r="G74" s="21"/>
      <c r="H74" s="21"/>
      <c r="I74" s="22"/>
    </row>
    <row r="75" spans="1:9" x14ac:dyDescent="0.25">
      <c r="A75" s="23"/>
      <c r="B75" s="24"/>
      <c r="C75" s="17"/>
      <c r="D75" s="17"/>
      <c r="E75" s="6"/>
      <c r="F75" s="6"/>
      <c r="G75" s="6"/>
      <c r="H75" s="6"/>
      <c r="I75" s="25"/>
    </row>
    <row r="76" spans="1:9" ht="15.6" x14ac:dyDescent="0.3">
      <c r="A76" s="26" t="s">
        <v>115</v>
      </c>
      <c r="B76" s="27"/>
      <c r="C76" s="27" t="s">
        <v>86</v>
      </c>
      <c r="D76" s="27"/>
      <c r="E76" s="27" t="s">
        <v>87</v>
      </c>
      <c r="F76" s="27"/>
      <c r="G76" s="28" t="s">
        <v>88</v>
      </c>
      <c r="H76" s="29"/>
      <c r="I76" s="25"/>
    </row>
    <row r="77" spans="1:9" x14ac:dyDescent="0.25">
      <c r="A77" s="69" t="s">
        <v>0</v>
      </c>
      <c r="B77" s="31" t="s">
        <v>120</v>
      </c>
      <c r="C77" s="30" t="s">
        <v>0</v>
      </c>
      <c r="D77" s="31" t="s">
        <v>90</v>
      </c>
      <c r="E77" s="86" t="s">
        <v>91</v>
      </c>
      <c r="F77" s="70"/>
      <c r="G77" s="33" t="s">
        <v>92</v>
      </c>
      <c r="H77" s="34"/>
      <c r="I77" s="25"/>
    </row>
    <row r="78" spans="1:9" x14ac:dyDescent="0.25">
      <c r="A78" s="87" t="s">
        <v>116</v>
      </c>
      <c r="B78" s="6"/>
      <c r="C78" s="35" t="s">
        <v>93</v>
      </c>
      <c r="D78" s="36">
        <v>1.1176E-2</v>
      </c>
      <c r="E78" s="35" t="s">
        <v>122</v>
      </c>
      <c r="F78" s="71">
        <v>1</v>
      </c>
      <c r="G78" s="38" t="s">
        <v>95</v>
      </c>
      <c r="H78" s="81">
        <v>6.8000000000000001E-6</v>
      </c>
      <c r="I78" s="25"/>
    </row>
    <row r="79" spans="1:9" x14ac:dyDescent="0.3">
      <c r="A79" s="72" t="s">
        <v>117</v>
      </c>
      <c r="B79" s="36">
        <v>0.3</v>
      </c>
      <c r="C79" s="35" t="s">
        <v>96</v>
      </c>
      <c r="D79" s="36">
        <v>10</v>
      </c>
      <c r="E79" s="35"/>
      <c r="F79" s="71"/>
      <c r="G79" s="78"/>
      <c r="H79" s="88"/>
      <c r="I79" s="25"/>
    </row>
    <row r="80" spans="1:9" x14ac:dyDescent="0.3">
      <c r="A80" s="72" t="s">
        <v>118</v>
      </c>
      <c r="B80" s="36">
        <v>0.05</v>
      </c>
      <c r="C80" s="35" t="s">
        <v>99</v>
      </c>
      <c r="D80" s="43">
        <v>48</v>
      </c>
      <c r="E80" s="35"/>
      <c r="F80" s="71"/>
      <c r="G80" s="33" t="s">
        <v>123</v>
      </c>
      <c r="H80" s="34"/>
      <c r="I80" s="25"/>
    </row>
    <row r="81" spans="1:9" x14ac:dyDescent="0.3">
      <c r="A81" s="72" t="s">
        <v>98</v>
      </c>
      <c r="B81" s="36">
        <v>1.88</v>
      </c>
      <c r="C81" s="35"/>
      <c r="D81" s="46"/>
      <c r="E81" s="35"/>
      <c r="F81" s="71"/>
      <c r="G81" s="38" t="s">
        <v>124</v>
      </c>
      <c r="H81" s="81">
        <f>0.00000078/3*7</f>
        <v>1.8199999999999999E-6</v>
      </c>
      <c r="I81" s="25"/>
    </row>
    <row r="82" spans="1:9" x14ac:dyDescent="0.3">
      <c r="A82" s="72" t="s">
        <v>101</v>
      </c>
      <c r="B82" s="43">
        <v>16</v>
      </c>
      <c r="C82" s="35"/>
      <c r="D82" s="46"/>
      <c r="E82" s="35"/>
      <c r="F82" s="71"/>
      <c r="G82" s="78"/>
      <c r="H82" s="46"/>
      <c r="I82" s="25"/>
    </row>
    <row r="83" spans="1:9" x14ac:dyDescent="0.25">
      <c r="A83" s="23" t="s">
        <v>104</v>
      </c>
      <c r="B83" s="48">
        <f>B82*PI()*(B79^2/4-(B79/2-B80)^2)/B81</f>
        <v>0.33421198442444611</v>
      </c>
      <c r="C83" s="35"/>
      <c r="D83" s="41"/>
      <c r="E83" s="40"/>
      <c r="F83" s="6"/>
      <c r="G83" s="40"/>
      <c r="H83" s="46"/>
      <c r="I83" s="25"/>
    </row>
    <row r="84" spans="1:9" x14ac:dyDescent="0.25">
      <c r="A84" s="23" t="s">
        <v>106</v>
      </c>
      <c r="B84" s="52">
        <f>B83*0.01</f>
        <v>3.342119844244461E-3</v>
      </c>
      <c r="C84" s="35"/>
      <c r="D84" s="41"/>
      <c r="E84" s="40"/>
      <c r="F84" s="6"/>
      <c r="G84" s="40"/>
      <c r="H84" s="46"/>
      <c r="I84" s="25"/>
    </row>
    <row r="85" spans="1:9" x14ac:dyDescent="0.25">
      <c r="A85" s="87" t="s">
        <v>119</v>
      </c>
      <c r="B85" s="6"/>
      <c r="C85" s="35" t="s">
        <v>105</v>
      </c>
      <c r="D85" s="49">
        <f>D80*PI()*(D78/2)^2/D79</f>
        <v>4.7087312617572266E-4</v>
      </c>
      <c r="E85" s="35"/>
      <c r="F85" s="73"/>
      <c r="G85" s="79"/>
      <c r="H85" s="46"/>
      <c r="I85" s="25"/>
    </row>
    <row r="86" spans="1:9" x14ac:dyDescent="0.3">
      <c r="A86" s="72" t="s">
        <v>117</v>
      </c>
      <c r="B86" s="36">
        <v>0.3</v>
      </c>
      <c r="C86" s="35" t="s">
        <v>106</v>
      </c>
      <c r="D86" s="52">
        <f>0.01*D85</f>
        <v>4.7087312617572264E-6</v>
      </c>
      <c r="E86" s="35" t="s">
        <v>107</v>
      </c>
      <c r="F86" s="74">
        <f>SUM(F78:F82)</f>
        <v>1</v>
      </c>
      <c r="G86" s="80"/>
      <c r="H86" s="46"/>
      <c r="I86" s="25"/>
    </row>
    <row r="87" spans="1:9" x14ac:dyDescent="0.3">
      <c r="A87" s="72" t="s">
        <v>118</v>
      </c>
      <c r="B87" s="36">
        <v>0.05</v>
      </c>
      <c r="C87" s="35"/>
      <c r="D87" s="41"/>
      <c r="E87" s="40"/>
      <c r="F87" s="54"/>
      <c r="G87" s="40"/>
      <c r="H87" s="46"/>
      <c r="I87" s="25"/>
    </row>
    <row r="88" spans="1:9" x14ac:dyDescent="0.3">
      <c r="A88" s="72" t="s">
        <v>98</v>
      </c>
      <c r="B88" s="36">
        <v>3.16</v>
      </c>
      <c r="C88" s="35"/>
      <c r="D88" s="41"/>
      <c r="E88" s="40" t="s">
        <v>108</v>
      </c>
      <c r="F88" s="54">
        <v>0</v>
      </c>
      <c r="G88" s="40"/>
      <c r="H88" s="46"/>
      <c r="I88" s="25"/>
    </row>
    <row r="89" spans="1:9" x14ac:dyDescent="0.3">
      <c r="A89" s="72" t="s">
        <v>101</v>
      </c>
      <c r="B89" s="43">
        <v>16</v>
      </c>
      <c r="C89" s="35"/>
      <c r="D89" s="46"/>
      <c r="E89" t="s">
        <v>109</v>
      </c>
      <c r="F89" s="54">
        <v>1.77E-2</v>
      </c>
      <c r="G89" s="40"/>
      <c r="H89" s="46"/>
      <c r="I89" s="25"/>
    </row>
    <row r="90" spans="1:9" ht="15.6" x14ac:dyDescent="0.3">
      <c r="A90" s="23" t="s">
        <v>104</v>
      </c>
      <c r="B90" s="48">
        <f>B89*PI()*(B86^2/4-(B86/2-B87)^2)/B88</f>
        <v>0.19883497807530334</v>
      </c>
      <c r="C90" s="35"/>
      <c r="D90" s="46"/>
      <c r="E90" t="s">
        <v>110</v>
      </c>
      <c r="F90" s="54">
        <v>1.7600000000000001E-2</v>
      </c>
      <c r="G90" s="40"/>
      <c r="H90" s="46"/>
      <c r="I90" s="57"/>
    </row>
    <row r="91" spans="1:9" ht="16.2" thickBot="1" x14ac:dyDescent="0.35">
      <c r="A91" s="23" t="s">
        <v>106</v>
      </c>
      <c r="B91" s="52">
        <f>B90*0.01</f>
        <v>1.9883497807530333E-3</v>
      </c>
      <c r="C91" s="35"/>
      <c r="D91" s="41"/>
      <c r="E91" s="6"/>
      <c r="F91" s="6"/>
      <c r="G91" s="40"/>
      <c r="H91" s="46"/>
      <c r="I91" s="89"/>
    </row>
    <row r="92" spans="1:9" ht="21" x14ac:dyDescent="0.4">
      <c r="A92" s="60" t="s">
        <v>111</v>
      </c>
      <c r="B92" s="61" t="e">
        <f>A93/B93</f>
        <v>#VALUE!</v>
      </c>
      <c r="C92" s="62" t="s">
        <v>111</v>
      </c>
      <c r="D92" s="61" t="e">
        <f>C93/D93</f>
        <v>#VALUE!</v>
      </c>
      <c r="E92" s="62" t="s">
        <v>111</v>
      </c>
      <c r="F92" s="61">
        <f>E93/F93</f>
        <v>1981.1242864206197</v>
      </c>
      <c r="G92" s="62" t="s">
        <v>111</v>
      </c>
      <c r="H92" s="61">
        <f>G93/H93</f>
        <v>1.160092807424594</v>
      </c>
      <c r="I92" s="76" t="s">
        <v>112</v>
      </c>
    </row>
    <row r="93" spans="1:9" ht="21.6" thickBot="1" x14ac:dyDescent="0.45">
      <c r="A93" s="63">
        <v>5.0000000000000002E-5</v>
      </c>
      <c r="B93" s="64" t="e">
        <f>B84*ConInt(B77,T_STILL,T_MC)+B91*ConInt(B77,T_STILL,T_MC)</f>
        <v>#VALUE!</v>
      </c>
      <c r="C93" s="65">
        <v>5.0000000000000004E-6</v>
      </c>
      <c r="D93" s="64" t="e">
        <f>D86*ConInt(D77,T_STILL,T_MC)</f>
        <v>#VALUE!</v>
      </c>
      <c r="E93" s="65">
        <v>9.9999999999999995E-7</v>
      </c>
      <c r="F93" s="66">
        <f>F86*C_SB*(T_STILL^4 -T_MC^ 4)/(1/F89+1/F90-1)</f>
        <v>5.0476388929981868E-10</v>
      </c>
      <c r="G93" s="65">
        <v>1.0000000000000001E-5</v>
      </c>
      <c r="H93" s="64">
        <f>H78+H81</f>
        <v>8.6200000000000005E-6</v>
      </c>
      <c r="I93" s="90" t="e">
        <f>SUM(F93,#REF!,#REF!, D93,B93,H93,#REF!)</f>
        <v>#REF!</v>
      </c>
    </row>
    <row r="94" spans="1:9" ht="15.6" x14ac:dyDescent="0.3">
      <c r="A94"/>
      <c r="B94"/>
      <c r="C94"/>
      <c r="D94"/>
      <c r="E94"/>
      <c r="F94"/>
      <c r="G94"/>
      <c r="H94"/>
      <c r="I94" s="85">
        <v>2.5000000000000001E-5</v>
      </c>
    </row>
  </sheetData>
  <mergeCells count="38">
    <mergeCell ref="G65:H65"/>
    <mergeCell ref="G53:H53"/>
    <mergeCell ref="A53:B53"/>
    <mergeCell ref="C53:D53"/>
    <mergeCell ref="E53:F53"/>
    <mergeCell ref="A54:A55"/>
    <mergeCell ref="G56:H56"/>
    <mergeCell ref="G60:H60"/>
    <mergeCell ref="A8:A9"/>
    <mergeCell ref="A30:B30"/>
    <mergeCell ref="C30:D30"/>
    <mergeCell ref="E76:F76"/>
    <mergeCell ref="G76:H76"/>
    <mergeCell ref="G77:H77"/>
    <mergeCell ref="G80:H80"/>
    <mergeCell ref="A74:D74"/>
    <mergeCell ref="A76:B76"/>
    <mergeCell ref="C76:D76"/>
    <mergeCell ref="G54:H54"/>
    <mergeCell ref="G30:H30"/>
    <mergeCell ref="A51:D51"/>
    <mergeCell ref="E30:F30"/>
    <mergeCell ref="A31:A32"/>
    <mergeCell ref="G31:H31"/>
    <mergeCell ref="G33:H33"/>
    <mergeCell ref="G37:H37"/>
    <mergeCell ref="G42:H42"/>
    <mergeCell ref="G19:H19"/>
    <mergeCell ref="A28:D28"/>
    <mergeCell ref="G7:H7"/>
    <mergeCell ref="G8:H8"/>
    <mergeCell ref="G10:H10"/>
    <mergeCell ref="G14:H14"/>
    <mergeCell ref="A7:B7"/>
    <mergeCell ref="C7:D7"/>
    <mergeCell ref="E7:F7"/>
    <mergeCell ref="A1:D1"/>
    <mergeCell ref="A5:D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B0F506-2343-4F5E-8FED-52368DD7E8E4}">
  <dimension ref="A1:S52"/>
  <sheetViews>
    <sheetView workbookViewId="0">
      <selection activeCell="A18" sqref="A18"/>
    </sheetView>
  </sheetViews>
  <sheetFormatPr defaultRowHeight="14.4" x14ac:dyDescent="0.3"/>
  <cols>
    <col min="1" max="1" width="33.33203125" customWidth="1"/>
  </cols>
  <sheetData>
    <row r="1" spans="1:19" x14ac:dyDescent="0.3">
      <c r="A1" t="s">
        <v>12</v>
      </c>
      <c r="B1" t="s">
        <v>13</v>
      </c>
      <c r="C1" t="s">
        <v>14</v>
      </c>
      <c r="D1" t="s">
        <v>15</v>
      </c>
      <c r="E1" t="s">
        <v>16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76</v>
      </c>
      <c r="P1" t="s">
        <v>2</v>
      </c>
      <c r="Q1" t="s">
        <v>17</v>
      </c>
      <c r="R1" t="s">
        <v>18</v>
      </c>
      <c r="S1" t="s">
        <v>19</v>
      </c>
    </row>
    <row r="2" spans="1:19" x14ac:dyDescent="0.3">
      <c r="A2" t="s">
        <v>20</v>
      </c>
      <c r="B2" t="s">
        <v>21</v>
      </c>
      <c r="C2">
        <v>4</v>
      </c>
      <c r="D2">
        <v>300</v>
      </c>
      <c r="E2">
        <v>2</v>
      </c>
      <c r="F2" s="2">
        <v>23.3917</v>
      </c>
      <c r="G2" s="2">
        <v>-148.57300000000001</v>
      </c>
      <c r="H2" s="2">
        <v>422.19200000000001</v>
      </c>
      <c r="I2" s="2">
        <v>-653.66600000000005</v>
      </c>
      <c r="J2" s="2">
        <v>607.04</v>
      </c>
      <c r="K2" s="2">
        <v>-346.15199999999999</v>
      </c>
      <c r="L2" s="2">
        <v>118.428</v>
      </c>
      <c r="M2" s="2">
        <v>-22.278099999999998</v>
      </c>
      <c r="N2" s="2">
        <v>1.7701899999999999</v>
      </c>
      <c r="O2" s="2">
        <v>0</v>
      </c>
      <c r="P2" s="2">
        <v>0</v>
      </c>
      <c r="Q2" s="2">
        <v>0</v>
      </c>
      <c r="R2" s="2">
        <v>0</v>
      </c>
      <c r="S2" s="2">
        <v>0</v>
      </c>
    </row>
    <row r="3" spans="1:19" x14ac:dyDescent="0.3">
      <c r="A3" t="s">
        <v>22</v>
      </c>
      <c r="B3" t="s">
        <v>21</v>
      </c>
      <c r="C3">
        <v>4</v>
      </c>
      <c r="D3">
        <v>300</v>
      </c>
      <c r="E3">
        <v>2</v>
      </c>
      <c r="F3" s="2">
        <v>0.63736000000000004</v>
      </c>
      <c r="G3" s="2">
        <v>-1.1436999999999999</v>
      </c>
      <c r="H3" s="2">
        <v>7.4623999999999997</v>
      </c>
      <c r="I3" s="2">
        <v>-12.6905</v>
      </c>
      <c r="J3" s="2">
        <v>11.916499999999999</v>
      </c>
      <c r="K3" s="2">
        <v>-6.1872100000000003</v>
      </c>
      <c r="L3" s="2">
        <v>1.6393899999999999</v>
      </c>
      <c r="M3" s="2">
        <v>-0.17266699999999999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s="2">
        <v>0</v>
      </c>
    </row>
    <row r="4" spans="1:19" x14ac:dyDescent="0.3">
      <c r="A4" t="s">
        <v>23</v>
      </c>
      <c r="B4" t="s">
        <v>21</v>
      </c>
      <c r="C4">
        <v>4</v>
      </c>
      <c r="D4">
        <v>300</v>
      </c>
      <c r="E4">
        <v>1</v>
      </c>
      <c r="F4" s="2">
        <v>-0.90932999999999997</v>
      </c>
      <c r="G4" s="2">
        <v>5.7510000000000003</v>
      </c>
      <c r="H4" s="2">
        <v>-11.112</v>
      </c>
      <c r="I4" s="2">
        <v>13.612</v>
      </c>
      <c r="J4" s="2">
        <v>-9.3977000000000004</v>
      </c>
      <c r="K4" s="2">
        <v>3.6873</v>
      </c>
      <c r="L4" s="2">
        <v>-0.77295000000000003</v>
      </c>
      <c r="M4" s="2">
        <v>6.7335999999999993E-2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s="2">
        <v>0</v>
      </c>
    </row>
    <row r="5" spans="1:19" x14ac:dyDescent="0.3">
      <c r="A5" t="s">
        <v>24</v>
      </c>
      <c r="B5" t="s">
        <v>21</v>
      </c>
      <c r="C5">
        <v>4</v>
      </c>
      <c r="D5">
        <v>300</v>
      </c>
      <c r="E5">
        <v>0.5</v>
      </c>
      <c r="F5" s="2">
        <v>7.918E-2</v>
      </c>
      <c r="G5" s="2">
        <v>1.0956999999999999</v>
      </c>
      <c r="H5" s="2">
        <v>-7.2770000000000001E-2</v>
      </c>
      <c r="I5" s="2">
        <v>8.0839999999999995E-2</v>
      </c>
      <c r="J5" s="2">
        <v>2.8029999999999999E-2</v>
      </c>
      <c r="K5" s="2">
        <v>-9.4640000000000002E-2</v>
      </c>
      <c r="L5" s="2">
        <v>4.1790000000000001E-2</v>
      </c>
      <c r="M5" s="2">
        <v>-5.7099999999999998E-3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</row>
    <row r="6" spans="1:19" x14ac:dyDescent="0.3">
      <c r="A6" t="s">
        <v>25</v>
      </c>
      <c r="B6" t="s">
        <v>21</v>
      </c>
      <c r="C6">
        <v>4</v>
      </c>
      <c r="D6">
        <v>296</v>
      </c>
      <c r="E6">
        <v>2</v>
      </c>
      <c r="F6" s="2">
        <v>22.401399999999999</v>
      </c>
      <c r="G6" s="2">
        <v>-141.13399999999999</v>
      </c>
      <c r="H6" s="2">
        <v>394.95499999999998</v>
      </c>
      <c r="I6" s="2">
        <v>-601.154</v>
      </c>
      <c r="J6" s="2">
        <v>547.83199999999999</v>
      </c>
      <c r="K6" s="2">
        <v>-305.99700000000001</v>
      </c>
      <c r="L6" s="2">
        <v>102.387</v>
      </c>
      <c r="M6" s="2">
        <v>-18.810199999999998</v>
      </c>
      <c r="N6" s="2">
        <v>1.4576899999999999</v>
      </c>
      <c r="O6" s="2">
        <v>0</v>
      </c>
      <c r="P6" s="2">
        <v>0</v>
      </c>
      <c r="Q6" s="2">
        <v>0</v>
      </c>
      <c r="R6" s="2">
        <v>0</v>
      </c>
      <c r="S6" s="2">
        <v>0</v>
      </c>
    </row>
    <row r="7" spans="1:19" x14ac:dyDescent="0.3">
      <c r="A7" t="s">
        <v>26</v>
      </c>
      <c r="B7" t="s">
        <v>27</v>
      </c>
      <c r="C7">
        <v>0.26400000000000001</v>
      </c>
      <c r="D7">
        <v>1.0609999999999999</v>
      </c>
      <c r="E7">
        <v>6.4580000000000002</v>
      </c>
      <c r="F7" s="2">
        <v>-18.510400000000001</v>
      </c>
      <c r="G7" s="2">
        <v>29.253599999999999</v>
      </c>
      <c r="H7" s="2">
        <v>2.0771899999999999</v>
      </c>
      <c r="I7" s="2">
        <v>-2.2200500000000001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</row>
    <row r="8" spans="1:19" x14ac:dyDescent="0.3">
      <c r="A8" t="s">
        <v>28</v>
      </c>
      <c r="B8" t="s">
        <v>27</v>
      </c>
      <c r="C8">
        <v>0.26400000000000001</v>
      </c>
      <c r="D8">
        <v>1.0609999999999999</v>
      </c>
      <c r="E8">
        <v>6.4580000000000002</v>
      </c>
      <c r="F8" s="2">
        <v>-18.510400000000001</v>
      </c>
      <c r="G8" s="2">
        <v>29.253599999999999</v>
      </c>
      <c r="H8" s="2">
        <v>2.0771899999999999</v>
      </c>
      <c r="I8" s="2">
        <v>-2.2200500000000001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</row>
    <row r="9" spans="1:19" x14ac:dyDescent="0.3">
      <c r="A9" t="s">
        <v>29</v>
      </c>
      <c r="B9" t="s">
        <v>21</v>
      </c>
      <c r="C9">
        <v>88</v>
      </c>
      <c r="D9">
        <v>300</v>
      </c>
      <c r="E9">
        <v>1.5</v>
      </c>
      <c r="F9" s="2">
        <v>4172.45</v>
      </c>
      <c r="G9" s="2">
        <v>-11310</v>
      </c>
      <c r="H9" s="2">
        <v>12745.1</v>
      </c>
      <c r="I9" s="2">
        <v>-7647.58</v>
      </c>
      <c r="J9" s="2">
        <v>2577.31</v>
      </c>
      <c r="K9" s="2">
        <v>-462.53800000000001</v>
      </c>
      <c r="L9" s="2">
        <v>34.5351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</row>
    <row r="10" spans="1:19" x14ac:dyDescent="0.3">
      <c r="A10" t="s">
        <v>30</v>
      </c>
      <c r="B10" t="s">
        <v>21</v>
      </c>
      <c r="C10">
        <v>92</v>
      </c>
      <c r="D10">
        <v>300</v>
      </c>
      <c r="E10">
        <v>1</v>
      </c>
      <c r="F10" s="2">
        <v>-1375.11</v>
      </c>
      <c r="G10" s="2">
        <v>3740.69</v>
      </c>
      <c r="H10" s="2">
        <v>-4238.47</v>
      </c>
      <c r="I10" s="2">
        <v>2559.33</v>
      </c>
      <c r="J10" s="2">
        <v>-868.60699999999997</v>
      </c>
      <c r="K10" s="2">
        <v>157.102</v>
      </c>
      <c r="L10" s="2">
        <v>-11.829599999999999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</row>
    <row r="11" spans="1:19" x14ac:dyDescent="0.3">
      <c r="A11" t="s">
        <v>31</v>
      </c>
      <c r="B11" t="s">
        <v>21</v>
      </c>
      <c r="C11">
        <v>2</v>
      </c>
      <c r="D11">
        <v>80</v>
      </c>
      <c r="E11">
        <v>2</v>
      </c>
      <c r="F11" s="2">
        <v>-0.50014999999999998</v>
      </c>
      <c r="G11" s="2">
        <v>1.9319</v>
      </c>
      <c r="H11" s="2">
        <v>-1.6954</v>
      </c>
      <c r="I11" s="2">
        <v>0.71218000000000004</v>
      </c>
      <c r="J11" s="2">
        <v>1.2787999999999999</v>
      </c>
      <c r="K11" s="2">
        <v>-1.6145</v>
      </c>
      <c r="L11" s="2">
        <v>0.68722000000000005</v>
      </c>
      <c r="M11" s="2">
        <v>-0.10501000000000001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</row>
    <row r="12" spans="1:19" x14ac:dyDescent="0.3">
      <c r="A12" t="s">
        <v>32</v>
      </c>
      <c r="B12" t="s">
        <v>21</v>
      </c>
      <c r="C12">
        <v>5</v>
      </c>
      <c r="D12">
        <v>116</v>
      </c>
      <c r="E12">
        <v>1.5</v>
      </c>
      <c r="F12" s="2">
        <v>2.1035000000000002E-2</v>
      </c>
      <c r="G12" s="2">
        <v>-1.0183500000000001</v>
      </c>
      <c r="H12" s="2">
        <v>4.5408299999999997</v>
      </c>
      <c r="I12" s="2">
        <v>-5.0337399999999999</v>
      </c>
      <c r="J12" s="2">
        <v>3.2053600000000002</v>
      </c>
      <c r="K12" s="2">
        <v>-1.1293299999999999</v>
      </c>
      <c r="L12" s="2">
        <v>0.17405699999999999</v>
      </c>
      <c r="M12" s="2">
        <v>-3.8151000000000001E-3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</row>
    <row r="13" spans="1:19" x14ac:dyDescent="0.3">
      <c r="A13" t="s">
        <v>33</v>
      </c>
      <c r="B13" t="s">
        <v>27</v>
      </c>
      <c r="C13">
        <v>0.13400000000000001</v>
      </c>
      <c r="D13">
        <v>4.8419999999999996</v>
      </c>
      <c r="E13">
        <v>14.228</v>
      </c>
      <c r="F13" s="2">
        <v>2.4980899999999998E-4</v>
      </c>
      <c r="G13" s="2">
        <v>-2.17074E-3</v>
      </c>
      <c r="H13" s="2">
        <v>5.2094200000000002E-3</v>
      </c>
      <c r="I13" s="2">
        <v>3.9966899999999998E-3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</row>
    <row r="14" spans="1:19" x14ac:dyDescent="0.3">
      <c r="A14" t="s">
        <v>34</v>
      </c>
      <c r="B14" t="s">
        <v>27</v>
      </c>
      <c r="C14">
        <v>0.13400000000000001</v>
      </c>
      <c r="D14">
        <v>4.8419999999999996</v>
      </c>
      <c r="E14">
        <v>4.8520000000000003</v>
      </c>
      <c r="F14" s="2">
        <v>2.6481900000000001E-4</v>
      </c>
      <c r="G14" s="2">
        <v>-2.5481000000000002E-3</v>
      </c>
      <c r="H14" s="2">
        <v>6.8985899999999996E-3</v>
      </c>
      <c r="I14" s="2">
        <v>3.3388900000000002E-3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</row>
    <row r="15" spans="1:19" x14ac:dyDescent="0.3">
      <c r="A15" t="s">
        <v>35</v>
      </c>
      <c r="B15" t="s">
        <v>27</v>
      </c>
      <c r="C15">
        <v>0.69799999999999995</v>
      </c>
      <c r="D15">
        <v>4.0199999999999996</v>
      </c>
      <c r="E15">
        <v>7.99</v>
      </c>
      <c r="F15" s="2">
        <v>9.2640999999999996E-5</v>
      </c>
      <c r="G15" s="2">
        <v>-1.2680899999999999E-3</v>
      </c>
      <c r="H15" s="2">
        <v>4.3668500000000002E-3</v>
      </c>
      <c r="I15" s="2">
        <v>1.05799E-3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</row>
    <row r="16" spans="1:19" x14ac:dyDescent="0.3">
      <c r="A16" t="s">
        <v>36</v>
      </c>
      <c r="B16" t="s">
        <v>27</v>
      </c>
      <c r="C16">
        <v>0.30399999999999999</v>
      </c>
      <c r="D16">
        <v>2.9710000000000001</v>
      </c>
      <c r="E16">
        <v>4.2960000000000003</v>
      </c>
      <c r="F16" s="2">
        <v>1.0902500000000001E-3</v>
      </c>
      <c r="G16" s="2">
        <v>-7.6321100000000001E-3</v>
      </c>
      <c r="H16" s="2">
        <v>1.9429800000000001E-2</v>
      </c>
      <c r="I16" s="2">
        <v>-2.5545899999999998E-3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</row>
    <row r="17" spans="1:19" x14ac:dyDescent="0.3">
      <c r="A17" t="s">
        <v>37</v>
      </c>
      <c r="B17" t="s">
        <v>21</v>
      </c>
      <c r="C17">
        <v>4</v>
      </c>
      <c r="D17">
        <v>300</v>
      </c>
      <c r="E17">
        <v>5</v>
      </c>
      <c r="F17" s="2">
        <v>-4.1235999999999997</v>
      </c>
      <c r="G17" s="2">
        <v>13.788</v>
      </c>
      <c r="H17" s="2">
        <v>-26.068000000000001</v>
      </c>
      <c r="I17" s="2">
        <v>26.271999999999998</v>
      </c>
      <c r="J17" s="2">
        <v>-14.663</v>
      </c>
      <c r="K17" s="2">
        <v>4.4954000000000001</v>
      </c>
      <c r="L17" s="2">
        <v>-0.6905</v>
      </c>
      <c r="M17" s="2">
        <v>3.9699999999999999E-2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</row>
    <row r="18" spans="1:19" x14ac:dyDescent="0.3">
      <c r="A18" t="s">
        <v>38</v>
      </c>
      <c r="B18" t="s">
        <v>21</v>
      </c>
      <c r="C18">
        <v>38</v>
      </c>
      <c r="D18">
        <v>300</v>
      </c>
      <c r="E18">
        <v>1</v>
      </c>
      <c r="F18" s="2">
        <v>689.53200000000004</v>
      </c>
      <c r="G18" s="2">
        <v>-2543.63</v>
      </c>
      <c r="H18" s="2">
        <v>3967.07</v>
      </c>
      <c r="I18" s="2">
        <v>-3400.37</v>
      </c>
      <c r="J18" s="2">
        <v>1731.72</v>
      </c>
      <c r="K18" s="2">
        <v>-524.30899999999997</v>
      </c>
      <c r="L18" s="2">
        <v>87.424899999999994</v>
      </c>
      <c r="M18" s="2">
        <v>-6.19597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</row>
    <row r="19" spans="1:19" x14ac:dyDescent="0.3">
      <c r="A19" t="s">
        <v>39</v>
      </c>
      <c r="B19" t="s">
        <v>27</v>
      </c>
      <c r="C19">
        <v>0.309</v>
      </c>
      <c r="D19">
        <v>4.0149999999999997</v>
      </c>
      <c r="E19">
        <v>5.3979999999999997</v>
      </c>
      <c r="F19" s="2">
        <v>5.7121400000000001E-4</v>
      </c>
      <c r="G19" s="2">
        <v>-4.47993E-3</v>
      </c>
      <c r="H19" s="2">
        <v>9.7279399999999992E-3</v>
      </c>
      <c r="I19" s="2">
        <v>2.98036E-3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</row>
    <row r="20" spans="1:19" x14ac:dyDescent="0.3">
      <c r="A20" t="s">
        <v>40</v>
      </c>
      <c r="B20" t="s">
        <v>21</v>
      </c>
      <c r="C20">
        <v>6</v>
      </c>
      <c r="D20">
        <v>275</v>
      </c>
      <c r="E20">
        <v>2</v>
      </c>
      <c r="F20" s="2">
        <v>-8.2892100000000006</v>
      </c>
      <c r="G20" s="2">
        <v>39.447000000000003</v>
      </c>
      <c r="H20" s="2">
        <v>-83.435299999999998</v>
      </c>
      <c r="I20" s="2">
        <v>98.168999999999997</v>
      </c>
      <c r="J20" s="2">
        <v>-67.208799999999997</v>
      </c>
      <c r="K20" s="2">
        <v>26.708200000000001</v>
      </c>
      <c r="L20" s="2">
        <v>-5.7205000000000004</v>
      </c>
      <c r="M20" s="2">
        <v>0.51114999999999999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</row>
    <row r="21" spans="1:19" x14ac:dyDescent="0.3">
      <c r="A21" t="s">
        <v>41</v>
      </c>
      <c r="B21" t="s">
        <v>21</v>
      </c>
      <c r="C21">
        <v>4</v>
      </c>
      <c r="D21">
        <v>300</v>
      </c>
      <c r="E21">
        <v>2</v>
      </c>
      <c r="F21" s="2">
        <v>-2.7063999999999999</v>
      </c>
      <c r="G21" s="2">
        <v>8.5190999999999999</v>
      </c>
      <c r="H21" s="2">
        <v>-15.923</v>
      </c>
      <c r="I21" s="2">
        <v>18.276</v>
      </c>
      <c r="J21" s="2">
        <v>-11.9116</v>
      </c>
      <c r="K21" s="2">
        <v>4.4031799999999999</v>
      </c>
      <c r="L21" s="2">
        <v>-0.86017999999999994</v>
      </c>
      <c r="M21" s="2">
        <v>6.8507999999999999E-2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</row>
    <row r="22" spans="1:19" x14ac:dyDescent="0.3">
      <c r="A22" t="s">
        <v>42</v>
      </c>
      <c r="B22" t="s">
        <v>27</v>
      </c>
      <c r="C22">
        <v>0.29799999999999999</v>
      </c>
      <c r="D22">
        <v>2.851</v>
      </c>
      <c r="E22">
        <v>15.978999999999999</v>
      </c>
      <c r="F22" s="2">
        <v>1.1403100000000001E-3</v>
      </c>
      <c r="G22" s="2">
        <v>-5.8609700000000001E-3</v>
      </c>
      <c r="H22" s="2">
        <v>8.6098600000000004E-3</v>
      </c>
      <c r="I22" s="2">
        <v>-1.14537E-4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</row>
    <row r="23" spans="1:19" x14ac:dyDescent="0.3">
      <c r="A23" t="s">
        <v>43</v>
      </c>
      <c r="B23" t="s">
        <v>21</v>
      </c>
      <c r="C23">
        <v>6</v>
      </c>
      <c r="D23">
        <v>302</v>
      </c>
      <c r="E23" t="s">
        <v>44</v>
      </c>
      <c r="F23" s="2">
        <v>-2.65</v>
      </c>
      <c r="G23" s="2">
        <v>1.98664</v>
      </c>
      <c r="H23" s="2">
        <v>1.24851</v>
      </c>
      <c r="I23" s="2">
        <v>0.56999999999999995</v>
      </c>
      <c r="J23" s="2">
        <v>-8</v>
      </c>
      <c r="K23" s="2">
        <v>0.77785700000000002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</row>
    <row r="24" spans="1:19" x14ac:dyDescent="0.3">
      <c r="A24" t="s">
        <v>45</v>
      </c>
      <c r="B24" t="s">
        <v>21</v>
      </c>
      <c r="C24">
        <v>0.1</v>
      </c>
      <c r="D24">
        <v>291</v>
      </c>
      <c r="E24" t="s">
        <v>44</v>
      </c>
      <c r="F24" s="2">
        <v>-2.4218999999999999</v>
      </c>
      <c r="G24" s="2">
        <v>1.98664</v>
      </c>
      <c r="H24" s="2">
        <v>1.2574399999999999</v>
      </c>
      <c r="I24" s="2">
        <v>0.96120899999999998</v>
      </c>
      <c r="J24" s="2">
        <v>-9.6105999999999998</v>
      </c>
      <c r="K24" s="2">
        <v>0.77785700000000002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</row>
    <row r="25" spans="1:19" x14ac:dyDescent="0.3">
      <c r="A25" t="s">
        <v>46</v>
      </c>
      <c r="B25" t="s">
        <v>21</v>
      </c>
      <c r="C25">
        <v>4</v>
      </c>
      <c r="D25">
        <v>296</v>
      </c>
      <c r="E25">
        <v>2</v>
      </c>
      <c r="F25" s="2">
        <v>38.963500000000003</v>
      </c>
      <c r="G25" s="2">
        <v>-221.405</v>
      </c>
      <c r="H25" s="2">
        <v>597.56600000000003</v>
      </c>
      <c r="I25" s="2">
        <v>-900.93799999999999</v>
      </c>
      <c r="J25" s="2">
        <v>816.40499999999997</v>
      </c>
      <c r="K25" s="2">
        <v>-455.08300000000003</v>
      </c>
      <c r="L25" s="2">
        <v>152.94</v>
      </c>
      <c r="M25" s="2">
        <v>-28.4512</v>
      </c>
      <c r="N25" s="2">
        <v>2.25162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</row>
    <row r="26" spans="1:19" x14ac:dyDescent="0.3">
      <c r="A26" t="s">
        <v>47</v>
      </c>
      <c r="B26" t="s">
        <v>27</v>
      </c>
      <c r="C26">
        <v>0.33700000000000002</v>
      </c>
      <c r="D26">
        <v>3.2130000000000001</v>
      </c>
      <c r="E26">
        <v>4.7220000000000004</v>
      </c>
      <c r="F26" s="2">
        <v>-2.26171E-4</v>
      </c>
      <c r="G26" s="2">
        <v>9.7055100000000005E-4</v>
      </c>
      <c r="H26" s="2">
        <v>4.6159299999999999E-3</v>
      </c>
      <c r="I26" s="2">
        <v>-1.1962699999999999E-3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</row>
    <row r="27" spans="1:19" x14ac:dyDescent="0.3">
      <c r="A27" t="s">
        <v>48</v>
      </c>
      <c r="B27" t="s">
        <v>21</v>
      </c>
      <c r="C27">
        <v>2</v>
      </c>
      <c r="D27">
        <v>373</v>
      </c>
      <c r="E27">
        <v>3</v>
      </c>
      <c r="F27" s="2">
        <v>10.7826</v>
      </c>
      <c r="G27" s="2">
        <v>-72.130700000000004</v>
      </c>
      <c r="H27" s="2">
        <v>228.57400000000001</v>
      </c>
      <c r="I27" s="2">
        <v>-384.50400000000002</v>
      </c>
      <c r="J27" s="2">
        <v>381.43799999999999</v>
      </c>
      <c r="K27" s="2">
        <v>-228.83799999999999</v>
      </c>
      <c r="L27" s="2">
        <v>81.266599999999997</v>
      </c>
      <c r="M27" s="2">
        <v>-15.691000000000001</v>
      </c>
      <c r="N27" s="2">
        <v>1.26814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</row>
    <row r="28" spans="1:19" x14ac:dyDescent="0.3">
      <c r="A28" t="s">
        <v>49</v>
      </c>
      <c r="B28" t="s">
        <v>21</v>
      </c>
      <c r="C28">
        <v>4</v>
      </c>
      <c r="D28">
        <v>300</v>
      </c>
      <c r="E28">
        <v>2</v>
      </c>
      <c r="F28" s="2">
        <v>-3.5785</v>
      </c>
      <c r="G28" s="2">
        <v>20.803999999999998</v>
      </c>
      <c r="H28" s="2">
        <v>-55.826000000000001</v>
      </c>
      <c r="I28" s="2">
        <v>87.811999999999998</v>
      </c>
      <c r="J28" s="2">
        <v>-83.501599999999996</v>
      </c>
      <c r="K28" s="2">
        <v>49.08</v>
      </c>
      <c r="L28" s="2">
        <v>-17.434799999999999</v>
      </c>
      <c r="M28" s="2">
        <v>3.4277000000000002</v>
      </c>
      <c r="N28" s="2">
        <v>-0.28621999999999997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</row>
    <row r="29" spans="1:19" x14ac:dyDescent="0.3">
      <c r="A29" t="s">
        <v>50</v>
      </c>
      <c r="B29" t="s">
        <v>21</v>
      </c>
      <c r="C29">
        <v>4</v>
      </c>
      <c r="D29">
        <v>300</v>
      </c>
      <c r="E29">
        <v>2</v>
      </c>
      <c r="F29" s="2">
        <v>0.89480999999999999</v>
      </c>
      <c r="G29" s="2">
        <v>-8.1997999999999998</v>
      </c>
      <c r="H29" s="2">
        <v>22.096</v>
      </c>
      <c r="I29" s="2">
        <v>-27.645</v>
      </c>
      <c r="J29" s="2">
        <v>19.752400000000002</v>
      </c>
      <c r="K29" s="2">
        <v>-8.1113</v>
      </c>
      <c r="L29" s="2">
        <v>1.7786599999999999</v>
      </c>
      <c r="M29" s="2">
        <v>-0.16172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</row>
    <row r="30" spans="1:19" x14ac:dyDescent="0.3">
      <c r="A30" t="s">
        <v>51</v>
      </c>
      <c r="B30" t="s">
        <v>21</v>
      </c>
      <c r="C30">
        <v>4</v>
      </c>
      <c r="D30">
        <v>300</v>
      </c>
      <c r="E30">
        <v>2</v>
      </c>
      <c r="F30" s="2">
        <v>-0.57245000000000001</v>
      </c>
      <c r="G30" s="2">
        <v>-0.33593000000000001</v>
      </c>
      <c r="H30" s="2">
        <v>3.9379</v>
      </c>
      <c r="I30" s="2">
        <v>-5.4588999999999999</v>
      </c>
      <c r="J30" s="2">
        <v>4.2336999999999998</v>
      </c>
      <c r="K30" s="2">
        <v>-1.8653</v>
      </c>
      <c r="L30" s="2">
        <v>0.43223</v>
      </c>
      <c r="M30" s="2">
        <v>-4.1207000000000001E-2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</row>
    <row r="31" spans="1:19" x14ac:dyDescent="0.3">
      <c r="A31" t="s">
        <v>52</v>
      </c>
      <c r="B31" t="s">
        <v>21</v>
      </c>
      <c r="C31">
        <v>4</v>
      </c>
      <c r="D31">
        <v>300</v>
      </c>
      <c r="E31">
        <v>2</v>
      </c>
      <c r="F31" s="2">
        <v>-7.1278499999999995E-2</v>
      </c>
      <c r="G31" s="2">
        <v>-3.4873500000000002</v>
      </c>
      <c r="H31" s="2">
        <v>10.6547</v>
      </c>
      <c r="I31" s="2">
        <v>-12.9153</v>
      </c>
      <c r="J31" s="2">
        <v>8.8906600000000005</v>
      </c>
      <c r="K31" s="2">
        <v>-3.5148199999999998</v>
      </c>
      <c r="L31" s="2">
        <v>0.74364300000000005</v>
      </c>
      <c r="M31" s="2">
        <v>-6.5788399999999997E-2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</row>
    <row r="32" spans="1:19" x14ac:dyDescent="0.3">
      <c r="A32" t="s">
        <v>53</v>
      </c>
      <c r="B32" t="s">
        <v>21</v>
      </c>
      <c r="C32">
        <v>1</v>
      </c>
      <c r="D32">
        <v>83</v>
      </c>
      <c r="E32">
        <v>1</v>
      </c>
      <c r="F32" s="2">
        <v>-1.37737</v>
      </c>
      <c r="G32" s="2">
        <v>-3.4066800000000002</v>
      </c>
      <c r="H32" s="2">
        <v>20.584199999999999</v>
      </c>
      <c r="I32" s="2">
        <v>-53.124400000000001</v>
      </c>
      <c r="J32" s="2">
        <v>73.247600000000006</v>
      </c>
      <c r="K32" s="2">
        <v>-57.654600000000002</v>
      </c>
      <c r="L32" s="2">
        <v>26.119199999999999</v>
      </c>
      <c r="M32" s="2">
        <v>-6.3479000000000001</v>
      </c>
      <c r="N32" s="2">
        <v>0.64033099999999998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</row>
    <row r="33" spans="1:19" x14ac:dyDescent="0.3">
      <c r="A33" t="s">
        <v>54</v>
      </c>
      <c r="B33" t="s">
        <v>21</v>
      </c>
      <c r="C33">
        <v>3</v>
      </c>
      <c r="D33">
        <v>298</v>
      </c>
      <c r="E33">
        <v>3</v>
      </c>
      <c r="F33" s="2">
        <v>-7.3345000000000002</v>
      </c>
      <c r="G33" s="2">
        <v>80.855000000000004</v>
      </c>
      <c r="H33" s="2">
        <v>-268.44099999999997</v>
      </c>
      <c r="I33" s="2">
        <v>481.62900000000002</v>
      </c>
      <c r="J33" s="2">
        <v>-503.89</v>
      </c>
      <c r="K33" s="2">
        <v>314.81299999999999</v>
      </c>
      <c r="L33" s="2">
        <v>-115.699</v>
      </c>
      <c r="M33" s="2">
        <v>23.095700000000001</v>
      </c>
      <c r="N33" s="2">
        <v>-1.9336199999999999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</row>
    <row r="34" spans="1:19" x14ac:dyDescent="0.3">
      <c r="A34" t="s">
        <v>55</v>
      </c>
      <c r="B34" t="s">
        <v>21</v>
      </c>
      <c r="C34">
        <v>4</v>
      </c>
      <c r="D34">
        <v>300</v>
      </c>
      <c r="E34">
        <v>2</v>
      </c>
      <c r="F34" s="2">
        <v>-2.6135000000000002</v>
      </c>
      <c r="G34" s="2">
        <v>2.3239000000000001</v>
      </c>
      <c r="H34" s="2">
        <v>-4.7586000000000004</v>
      </c>
      <c r="I34" s="2">
        <v>7.1601999999999997</v>
      </c>
      <c r="J34" s="2">
        <v>-4.9154999999999998</v>
      </c>
      <c r="K34" s="2">
        <v>1.6324000000000001</v>
      </c>
      <c r="L34" s="2">
        <v>-0.25069999999999998</v>
      </c>
      <c r="M34" s="2">
        <v>1.3100000000000001E-2</v>
      </c>
      <c r="N34" s="2">
        <v>0</v>
      </c>
      <c r="O34" s="2">
        <v>0</v>
      </c>
      <c r="P34" s="2">
        <v>0</v>
      </c>
      <c r="Q34" s="2">
        <v>0</v>
      </c>
      <c r="R34" s="2">
        <v>0</v>
      </c>
      <c r="S34" s="2">
        <v>0</v>
      </c>
    </row>
    <row r="35" spans="1:19" x14ac:dyDescent="0.3">
      <c r="A35" t="s">
        <v>56</v>
      </c>
      <c r="B35" t="s">
        <v>21</v>
      </c>
      <c r="C35">
        <v>4</v>
      </c>
      <c r="D35">
        <v>300</v>
      </c>
      <c r="E35">
        <v>2</v>
      </c>
      <c r="F35" s="2">
        <v>5.7310100000000004</v>
      </c>
      <c r="G35" s="2">
        <v>-39.5199</v>
      </c>
      <c r="H35" s="2">
        <v>79.931299999999993</v>
      </c>
      <c r="I35" s="2">
        <v>-83.857200000000006</v>
      </c>
      <c r="J35" s="2">
        <v>50.915700000000001</v>
      </c>
      <c r="K35" s="2">
        <v>-17.983499999999999</v>
      </c>
      <c r="L35" s="2">
        <v>3.4241299999999999</v>
      </c>
      <c r="M35" s="2">
        <v>-0.27133000000000002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</row>
    <row r="36" spans="1:19" x14ac:dyDescent="0.3">
      <c r="A36" t="s">
        <v>57</v>
      </c>
      <c r="B36" t="s">
        <v>21</v>
      </c>
      <c r="C36">
        <v>90</v>
      </c>
      <c r="D36">
        <v>300</v>
      </c>
      <c r="E36">
        <v>2</v>
      </c>
      <c r="F36" s="2">
        <v>-1557.5</v>
      </c>
      <c r="G36" s="2">
        <v>3984.7</v>
      </c>
      <c r="H36" s="2">
        <v>-3940.24</v>
      </c>
      <c r="I36" s="2">
        <v>1649.67</v>
      </c>
      <c r="J36" s="2">
        <v>12.801</v>
      </c>
      <c r="K36" s="2">
        <v>-294.262</v>
      </c>
      <c r="L36" s="2">
        <v>119.59</v>
      </c>
      <c r="M36" s="2">
        <v>-20.630099999999999</v>
      </c>
      <c r="N36" s="2">
        <v>1.36067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</row>
    <row r="37" spans="1:19" x14ac:dyDescent="0.3">
      <c r="A37" t="s">
        <v>58</v>
      </c>
      <c r="B37" t="s">
        <v>21</v>
      </c>
      <c r="C37">
        <v>76</v>
      </c>
      <c r="D37">
        <v>300</v>
      </c>
      <c r="E37">
        <v>2</v>
      </c>
      <c r="F37" s="2">
        <v>-3218.68</v>
      </c>
      <c r="G37" s="2">
        <v>9201.61</v>
      </c>
      <c r="H37" s="2">
        <v>-10956.7</v>
      </c>
      <c r="I37" s="2">
        <v>6950.1</v>
      </c>
      <c r="J37" s="2">
        <v>-2476.94</v>
      </c>
      <c r="K37" s="2">
        <v>470.28399999999999</v>
      </c>
      <c r="L37" s="2">
        <v>-37.166899999999998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</row>
    <row r="38" spans="1:19" x14ac:dyDescent="0.3">
      <c r="A38" t="s">
        <v>59</v>
      </c>
      <c r="B38" t="s">
        <v>21</v>
      </c>
      <c r="C38">
        <v>100</v>
      </c>
      <c r="D38">
        <v>300</v>
      </c>
      <c r="E38">
        <v>1.5</v>
      </c>
      <c r="F38" s="2">
        <v>11314.6</v>
      </c>
      <c r="G38" s="2">
        <v>-30824.3</v>
      </c>
      <c r="H38" s="2">
        <v>34964.199999999997</v>
      </c>
      <c r="I38" s="2">
        <v>-21141.4</v>
      </c>
      <c r="J38" s="2">
        <v>7187.43</v>
      </c>
      <c r="K38" s="2">
        <v>-1302.71</v>
      </c>
      <c r="L38" s="2">
        <v>98.352500000000006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</row>
    <row r="39" spans="1:19" x14ac:dyDescent="0.3">
      <c r="A39" t="s">
        <v>60</v>
      </c>
      <c r="B39" t="s">
        <v>27</v>
      </c>
      <c r="C39">
        <v>0.38500000000000001</v>
      </c>
      <c r="D39">
        <v>1672</v>
      </c>
      <c r="E39">
        <v>3.9529999999999998</v>
      </c>
      <c r="F39" s="2">
        <v>2.2336699999999999E-7</v>
      </c>
      <c r="G39" s="2">
        <v>-5.0429600000000002E-5</v>
      </c>
      <c r="H39" s="2">
        <v>3.0138600000000001E-3</v>
      </c>
      <c r="I39" s="2">
        <v>6.9650199999999995E-2</v>
      </c>
      <c r="J39" s="2">
        <v>0</v>
      </c>
      <c r="K39" s="2">
        <v>0</v>
      </c>
      <c r="L39" s="2">
        <v>0</v>
      </c>
      <c r="M39" s="2">
        <v>0</v>
      </c>
      <c r="N39" s="2">
        <v>0</v>
      </c>
      <c r="O39" s="2">
        <v>119.786</v>
      </c>
      <c r="P39" s="2">
        <v>3.4208099999999998E-2</v>
      </c>
      <c r="Q39" s="2">
        <v>-0.17113200000000001</v>
      </c>
      <c r="R39" s="2">
        <v>0.62353599999999998</v>
      </c>
      <c r="S39" s="2">
        <v>0.14921300000000001</v>
      </c>
    </row>
    <row r="40" spans="1:19" x14ac:dyDescent="0.3">
      <c r="A40" t="s">
        <v>61</v>
      </c>
      <c r="B40" t="s">
        <v>21</v>
      </c>
      <c r="C40">
        <v>4</v>
      </c>
      <c r="D40">
        <v>300</v>
      </c>
      <c r="E40">
        <v>2</v>
      </c>
      <c r="F40" s="2">
        <v>-1.4087000000000001</v>
      </c>
      <c r="G40" s="2">
        <v>1.3982000000000001</v>
      </c>
      <c r="H40" s="2">
        <v>0.25430000000000003</v>
      </c>
      <c r="I40" s="2">
        <v>-0.626</v>
      </c>
      <c r="J40" s="2">
        <v>0.2334</v>
      </c>
      <c r="K40" s="2">
        <v>0.42559999999999998</v>
      </c>
      <c r="L40" s="2">
        <v>-0.46579999999999999</v>
      </c>
      <c r="M40" s="2">
        <v>0.16500000000000001</v>
      </c>
      <c r="N40" s="2">
        <v>-1.9900000000000001E-2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</row>
    <row r="41" spans="1:19" x14ac:dyDescent="0.3">
      <c r="A41" t="s">
        <v>62</v>
      </c>
      <c r="B41" t="s">
        <v>63</v>
      </c>
      <c r="C41">
        <v>0.374</v>
      </c>
      <c r="D41">
        <v>1.67</v>
      </c>
      <c r="E41">
        <v>2.2930000000000001</v>
      </c>
      <c r="F41" s="2">
        <v>4.5059399999999999E-2</v>
      </c>
      <c r="G41" s="2">
        <v>-0.166211</v>
      </c>
      <c r="H41" s="2">
        <v>0.20047100000000001</v>
      </c>
      <c r="I41" s="2">
        <v>-4.4448500000000002E-3</v>
      </c>
      <c r="J41" s="2">
        <v>0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</row>
    <row r="42" spans="1:19" x14ac:dyDescent="0.3">
      <c r="A42" t="s">
        <v>64</v>
      </c>
      <c r="B42" t="s">
        <v>65</v>
      </c>
      <c r="C42">
        <v>148.15</v>
      </c>
      <c r="D42">
        <v>1273.1500000000001</v>
      </c>
      <c r="E42">
        <v>2.415</v>
      </c>
      <c r="F42" s="2">
        <v>0</v>
      </c>
      <c r="G42" s="2">
        <v>0</v>
      </c>
      <c r="H42" s="2">
        <v>0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 s="2">
        <v>0</v>
      </c>
      <c r="O42" s="2">
        <v>0</v>
      </c>
      <c r="P42" s="2">
        <v>4.8150600000000002E-2</v>
      </c>
      <c r="Q42" s="2">
        <v>-0.22143199999999999</v>
      </c>
      <c r="R42" s="2">
        <v>0.64670799999999995</v>
      </c>
      <c r="S42" s="2">
        <v>0.12534600000000001</v>
      </c>
    </row>
    <row r="43" spans="1:19" x14ac:dyDescent="0.3">
      <c r="A43" t="s">
        <v>1</v>
      </c>
      <c r="B43" t="s">
        <v>27</v>
      </c>
      <c r="C43">
        <v>4.4999999999999998E-2</v>
      </c>
      <c r="D43">
        <v>1670.15</v>
      </c>
      <c r="E43">
        <v>3.3919999999999999</v>
      </c>
      <c r="F43" s="2">
        <v>1.9410900000000001E-6</v>
      </c>
      <c r="G43" s="2">
        <v>-2.0527800000000001E-4</v>
      </c>
      <c r="H43" s="2">
        <v>6.6918400000000001E-3</v>
      </c>
      <c r="I43" s="2">
        <v>4.8098799999999997E-2</v>
      </c>
      <c r="J43" s="2">
        <v>0</v>
      </c>
      <c r="K43" s="2">
        <v>0</v>
      </c>
      <c r="L43" s="2">
        <v>0</v>
      </c>
      <c r="M43" s="2">
        <v>0</v>
      </c>
      <c r="N43" s="2">
        <v>0</v>
      </c>
      <c r="O43" s="2">
        <v>119.339</v>
      </c>
      <c r="P43" s="2">
        <v>0.10989599999999999</v>
      </c>
      <c r="Q43" s="2">
        <v>-0.72620499999999999</v>
      </c>
      <c r="R43" s="2">
        <v>1.9790399999999999</v>
      </c>
      <c r="S43" s="2">
        <v>-0.97872400000000004</v>
      </c>
    </row>
    <row r="44" spans="1:19" x14ac:dyDescent="0.3">
      <c r="A44" t="s">
        <v>66</v>
      </c>
      <c r="B44" t="s">
        <v>27</v>
      </c>
      <c r="C44">
        <v>0.39300000000000002</v>
      </c>
      <c r="D44">
        <v>1623.194</v>
      </c>
      <c r="E44" s="2">
        <v>0</v>
      </c>
      <c r="F44" s="2">
        <v>2.7201099999999999E-7</v>
      </c>
      <c r="G44" s="2">
        <v>-5.9751499999999999E-5</v>
      </c>
      <c r="H44" s="2">
        <v>3.5604600000000001E-3</v>
      </c>
      <c r="I44" s="2">
        <v>6.0495599999999997E-2</v>
      </c>
      <c r="J44" s="2">
        <v>0</v>
      </c>
      <c r="K44" s="2">
        <v>0</v>
      </c>
      <c r="L44" s="2">
        <v>0</v>
      </c>
      <c r="M44" s="2">
        <v>0</v>
      </c>
      <c r="N44" s="2">
        <v>0</v>
      </c>
      <c r="O44" s="2">
        <v>116.307</v>
      </c>
      <c r="P44" s="2">
        <v>0.103982</v>
      </c>
      <c r="Q44" s="2">
        <v>-0.74136599999999997</v>
      </c>
      <c r="R44" s="2">
        <v>2.17727</v>
      </c>
      <c r="S44" s="2">
        <v>-1.2478499999999999</v>
      </c>
    </row>
    <row r="45" spans="1:19" x14ac:dyDescent="0.3">
      <c r="A45" t="s">
        <v>67</v>
      </c>
      <c r="B45" t="s">
        <v>27</v>
      </c>
      <c r="C45">
        <v>4.4999999999999998E-2</v>
      </c>
      <c r="D45">
        <v>1672</v>
      </c>
      <c r="E45">
        <v>6.1479999999999997</v>
      </c>
      <c r="F45" s="2">
        <v>3.1315799999999998E-7</v>
      </c>
      <c r="G45" s="2">
        <v>-6.6683899999999994E-5</v>
      </c>
      <c r="H45" s="2">
        <v>3.84607E-3</v>
      </c>
      <c r="I45" s="2">
        <v>5.8948E-2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119.471</v>
      </c>
      <c r="P45" s="2">
        <v>0.16169500000000001</v>
      </c>
      <c r="Q45" s="2">
        <v>-1.09799</v>
      </c>
      <c r="R45" s="2">
        <v>2.8241299999999998</v>
      </c>
      <c r="S45" s="2">
        <v>-1.56968</v>
      </c>
    </row>
    <row r="46" spans="1:19" x14ac:dyDescent="0.3">
      <c r="A46" t="s">
        <v>68</v>
      </c>
      <c r="B46" t="s">
        <v>21</v>
      </c>
      <c r="C46">
        <v>4</v>
      </c>
      <c r="D46">
        <v>300</v>
      </c>
      <c r="E46">
        <v>5</v>
      </c>
      <c r="F46" s="2">
        <v>2.738</v>
      </c>
      <c r="G46" s="2">
        <v>-30.677</v>
      </c>
      <c r="H46" s="2">
        <v>89.43</v>
      </c>
      <c r="I46" s="2">
        <v>-136.99</v>
      </c>
      <c r="J46" s="2">
        <v>124.69</v>
      </c>
      <c r="K46" s="2">
        <v>-69.555999999999997</v>
      </c>
      <c r="L46" s="2">
        <v>23.32</v>
      </c>
      <c r="M46" s="2">
        <v>-4.3135000000000003</v>
      </c>
      <c r="N46" s="2">
        <v>0.33828999999999998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</row>
    <row r="47" spans="1:19" x14ac:dyDescent="0.3">
      <c r="A47" t="s">
        <v>69</v>
      </c>
      <c r="B47" t="s">
        <v>63</v>
      </c>
      <c r="C47">
        <v>0</v>
      </c>
      <c r="D47">
        <v>0</v>
      </c>
      <c r="E47">
        <v>11.286</v>
      </c>
      <c r="F47" s="2">
        <v>0</v>
      </c>
      <c r="G47" s="2">
        <v>0</v>
      </c>
      <c r="H47" s="2">
        <v>0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0</v>
      </c>
      <c r="Q47" s="2">
        <v>0</v>
      </c>
      <c r="R47" s="2">
        <v>0</v>
      </c>
      <c r="S47" s="2">
        <v>0</v>
      </c>
    </row>
    <row r="48" spans="1:19" x14ac:dyDescent="0.3">
      <c r="A48" t="s">
        <v>70</v>
      </c>
      <c r="B48" t="s">
        <v>65</v>
      </c>
      <c r="C48">
        <v>6.0999999999999999E-2</v>
      </c>
      <c r="D48">
        <v>1173.1500000000001</v>
      </c>
      <c r="E48">
        <v>13.131</v>
      </c>
      <c r="F48" s="2">
        <v>0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4.8406200000000003E-2</v>
      </c>
      <c r="Q48" s="2">
        <v>-0.43785499999999999</v>
      </c>
      <c r="R48" s="2">
        <v>1.72407</v>
      </c>
      <c r="S48" s="2">
        <v>-1.41506</v>
      </c>
    </row>
    <row r="49" spans="1:19" x14ac:dyDescent="0.3">
      <c r="A49" t="s">
        <v>71</v>
      </c>
      <c r="B49" t="s">
        <v>21</v>
      </c>
      <c r="C49">
        <v>1.4</v>
      </c>
      <c r="D49">
        <v>300</v>
      </c>
      <c r="E49">
        <v>3</v>
      </c>
      <c r="F49" s="2">
        <v>-2.39879</v>
      </c>
      <c r="G49" s="2">
        <v>8.9707399999999993</v>
      </c>
      <c r="H49" s="2">
        <v>-29.192900000000002</v>
      </c>
      <c r="I49" s="2">
        <v>54.871400000000001</v>
      </c>
      <c r="J49" s="2">
        <v>-59.671399999999998</v>
      </c>
      <c r="K49" s="2">
        <v>38.8932</v>
      </c>
      <c r="L49" s="2">
        <v>-14.941800000000001</v>
      </c>
      <c r="M49" s="2">
        <v>3.1116199999999998</v>
      </c>
      <c r="N49" s="2">
        <v>-0.270453</v>
      </c>
      <c r="O49" s="2">
        <v>0</v>
      </c>
      <c r="P49" s="2">
        <v>0</v>
      </c>
      <c r="Q49" s="2">
        <v>0</v>
      </c>
      <c r="R49" s="2">
        <v>0</v>
      </c>
      <c r="S49" s="2">
        <v>0</v>
      </c>
    </row>
    <row r="50" spans="1:19" x14ac:dyDescent="0.3">
      <c r="A50" t="s">
        <v>72</v>
      </c>
      <c r="B50" t="s">
        <v>27</v>
      </c>
      <c r="C50">
        <v>0.30299999999999999</v>
      </c>
      <c r="D50">
        <v>2.9769999999999999</v>
      </c>
      <c r="E50">
        <v>3.2650000000000001</v>
      </c>
      <c r="F50" s="2">
        <v>1.34033E-3</v>
      </c>
      <c r="G50" s="2">
        <v>-8.1721499999999996E-3</v>
      </c>
      <c r="H50" s="2">
        <v>1.52769E-2</v>
      </c>
      <c r="I50" s="2">
        <v>-7.5278599999999997E-4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</row>
    <row r="51" spans="1:19" x14ac:dyDescent="0.3">
      <c r="A51" t="s">
        <v>73</v>
      </c>
      <c r="B51" t="s">
        <v>27</v>
      </c>
      <c r="C51">
        <v>0.32200000000000001</v>
      </c>
      <c r="D51">
        <v>3.032</v>
      </c>
      <c r="E51">
        <v>26.713999999999999</v>
      </c>
      <c r="F51" s="2">
        <v>3.4050900000000002E-4</v>
      </c>
      <c r="G51" s="2">
        <v>-1.8072299999999999E-3</v>
      </c>
      <c r="H51" s="2">
        <v>3.15702E-3</v>
      </c>
      <c r="I51" s="2">
        <v>2.5303199999999999E-4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</row>
    <row r="52" spans="1:19" x14ac:dyDescent="0.3">
      <c r="A52" t="s">
        <v>74</v>
      </c>
      <c r="B52" t="s">
        <v>75</v>
      </c>
      <c r="C52">
        <v>3.4000000000000002E-2</v>
      </c>
      <c r="D52">
        <v>1000</v>
      </c>
      <c r="E52" s="2">
        <v>0</v>
      </c>
      <c r="F52" s="2">
        <v>9.3000000000000007</v>
      </c>
      <c r="G52" s="2">
        <v>2.7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D437776-08F9-4C91-824B-72A1B9C669E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Sample Thermal Model</vt:lpstr>
      <vt:lpstr>ConductivityParameters</vt:lpstr>
      <vt:lpstr>C_SB</vt:lpstr>
      <vt:lpstr>T_MC</vt:lpstr>
      <vt:lpstr>T_PTC1</vt:lpstr>
      <vt:lpstr>T_PTC2</vt:lpstr>
      <vt:lpstr>T_ROOM</vt:lpstr>
      <vt:lpstr>T_STILL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 Nachman</dc:creator>
  <cp:lastModifiedBy>Nicholas Galitzki</cp:lastModifiedBy>
  <dcterms:created xsi:type="dcterms:W3CDTF">2024-03-27T18:46:17Z</dcterms:created>
  <dcterms:modified xsi:type="dcterms:W3CDTF">2024-05-29T20:28:27Z</dcterms:modified>
</cp:coreProperties>
</file>